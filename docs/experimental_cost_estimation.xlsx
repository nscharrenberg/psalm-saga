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P70098761\Downloads\"/>
    </mc:Choice>
  </mc:AlternateContent>
  <xr:revisionPtr revIDLastSave="0" documentId="13_ncr:1_{90AA80C6-3620-4948-AE9A-F127DBB1A91E}" xr6:coauthVersionLast="47" xr6:coauthVersionMax="47" xr10:uidLastSave="{00000000-0000-0000-0000-000000000000}"/>
  <bookViews>
    <workbookView xWindow="28680" yWindow="-120" windowWidth="29040" windowHeight="15720" tabRatio="500" xr2:uid="{00000000-000D-0000-FFFF-FFFF00000000}"/>
  </bookViews>
  <sheets>
    <sheet name="Budget Summary" sheetId="1" r:id="rId1"/>
    <sheet name="Model Registry" sheetId="2" r:id="rId2"/>
    <sheet name="Assumptions" sheetId="3" r:id="rId3"/>
    <sheet name="Generation Tokens" sheetId="4" r:id="rId4"/>
    <sheet name="Judging Toke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12" i="5" l="1"/>
  <c r="F11" i="5"/>
  <c r="E11" i="5"/>
  <c r="F10" i="5"/>
  <c r="E10" i="5"/>
  <c r="G10" i="5" s="1"/>
  <c r="F9" i="5"/>
  <c r="E9" i="5"/>
  <c r="G9" i="5" s="1"/>
  <c r="F8" i="5"/>
  <c r="E8" i="5"/>
  <c r="F7" i="5"/>
  <c r="E7" i="5"/>
  <c r="G7" i="5" s="1"/>
  <c r="F6" i="5"/>
  <c r="E6" i="5"/>
  <c r="F5" i="5"/>
  <c r="E5" i="5"/>
  <c r="F4" i="5"/>
  <c r="F12" i="5" s="1"/>
  <c r="E4" i="5"/>
  <c r="E12" i="5" s="1"/>
  <c r="G16" i="4"/>
  <c r="F16" i="4"/>
  <c r="E16" i="4"/>
  <c r="I16" i="4" s="1"/>
  <c r="G15" i="4"/>
  <c r="F15" i="4"/>
  <c r="B15" i="4"/>
  <c r="E15" i="4" s="1"/>
  <c r="G14" i="4"/>
  <c r="F14" i="4"/>
  <c r="D14" i="4"/>
  <c r="C14" i="4"/>
  <c r="B14" i="4"/>
  <c r="G13" i="4"/>
  <c r="F13" i="4"/>
  <c r="D13" i="4"/>
  <c r="B13" i="4"/>
  <c r="E13" i="4" s="1"/>
  <c r="G12" i="4"/>
  <c r="F12" i="4"/>
  <c r="D12" i="4"/>
  <c r="E12" i="4" s="1"/>
  <c r="B12" i="4"/>
  <c r="G11" i="4"/>
  <c r="F11" i="4"/>
  <c r="D11" i="4"/>
  <c r="B11" i="4"/>
  <c r="G10" i="4"/>
  <c r="F10" i="4"/>
  <c r="D10" i="4"/>
  <c r="E10" i="4" s="1"/>
  <c r="B10" i="4"/>
  <c r="G9" i="4"/>
  <c r="F9" i="4"/>
  <c r="D9" i="4"/>
  <c r="C9" i="4"/>
  <c r="E9" i="4" s="1"/>
  <c r="B9" i="4"/>
  <c r="G8" i="4"/>
  <c r="F8" i="4"/>
  <c r="D8" i="4"/>
  <c r="E8" i="4" s="1"/>
  <c r="I8" i="4" s="1"/>
  <c r="B8" i="4"/>
  <c r="G7" i="4"/>
  <c r="F7" i="4"/>
  <c r="D7" i="4"/>
  <c r="E7" i="4" s="1"/>
  <c r="B7" i="4"/>
  <c r="G6" i="4"/>
  <c r="F6" i="4"/>
  <c r="D6" i="4"/>
  <c r="E6" i="4" s="1"/>
  <c r="I6" i="4" s="1"/>
  <c r="B6" i="4"/>
  <c r="G5" i="4"/>
  <c r="F5" i="4"/>
  <c r="D5" i="4"/>
  <c r="E5" i="4" s="1"/>
  <c r="C5" i="4"/>
  <c r="B5" i="4"/>
  <c r="G23" i="2"/>
  <c r="F23" i="2"/>
  <c r="G22" i="2"/>
  <c r="F22" i="2"/>
  <c r="G21" i="2"/>
  <c r="F21" i="2"/>
  <c r="G20" i="2"/>
  <c r="G29" i="1" s="1"/>
  <c r="F20" i="2"/>
  <c r="G19" i="2"/>
  <c r="F19" i="2"/>
  <c r="F28" i="1" s="1"/>
  <c r="G18" i="2"/>
  <c r="F18" i="2"/>
  <c r="G17" i="2"/>
  <c r="G26" i="1" s="1"/>
  <c r="F17" i="2"/>
  <c r="G16" i="2"/>
  <c r="F16" i="2"/>
  <c r="G15" i="2"/>
  <c r="F15" i="2"/>
  <c r="G14" i="2"/>
  <c r="F14" i="2"/>
  <c r="G13" i="2"/>
  <c r="F13" i="2"/>
  <c r="G12" i="2"/>
  <c r="F12" i="2"/>
  <c r="F27" i="1" s="1"/>
  <c r="G11" i="2"/>
  <c r="F11" i="2"/>
  <c r="G10" i="2"/>
  <c r="F10" i="2"/>
  <c r="G9" i="2"/>
  <c r="F9" i="2"/>
  <c r="G8" i="2"/>
  <c r="F8" i="2"/>
  <c r="G7" i="2"/>
  <c r="F7" i="2"/>
  <c r="F29" i="1"/>
  <c r="C29" i="1"/>
  <c r="B29" i="1"/>
  <c r="A29" i="1"/>
  <c r="G28" i="1"/>
  <c r="C28" i="1"/>
  <c r="B28" i="1"/>
  <c r="A28" i="1"/>
  <c r="G27" i="1"/>
  <c r="C27" i="1"/>
  <c r="B27" i="1"/>
  <c r="A27" i="1"/>
  <c r="F26" i="1"/>
  <c r="C26" i="1"/>
  <c r="B26" i="1"/>
  <c r="A26" i="1"/>
  <c r="G25" i="1"/>
  <c r="F25" i="1"/>
  <c r="C25" i="1"/>
  <c r="B25" i="1"/>
  <c r="A25" i="1"/>
  <c r="G24" i="1"/>
  <c r="F24" i="1"/>
  <c r="C24" i="1"/>
  <c r="B24" i="1"/>
  <c r="A24" i="1"/>
  <c r="B20" i="1"/>
  <c r="B19" i="1"/>
  <c r="B18" i="1"/>
  <c r="E14" i="4" l="1"/>
  <c r="E11" i="4"/>
  <c r="H14" i="4"/>
  <c r="I14" i="4"/>
  <c r="I11" i="4"/>
  <c r="H11" i="4"/>
  <c r="H15" i="4"/>
  <c r="I15" i="4"/>
  <c r="B32" i="1"/>
  <c r="E17" i="4"/>
  <c r="I5" i="4"/>
  <c r="H5" i="4"/>
  <c r="H17" i="4" s="1"/>
  <c r="E29" i="1"/>
  <c r="E28" i="1"/>
  <c r="E27" i="1"/>
  <c r="I12" i="4"/>
  <c r="H12" i="4"/>
  <c r="H9" i="4"/>
  <c r="I9" i="4"/>
  <c r="I13" i="4"/>
  <c r="H13" i="4"/>
  <c r="G6" i="5"/>
  <c r="G8" i="5"/>
  <c r="D28" i="1"/>
  <c r="G5" i="5"/>
  <c r="D29" i="1"/>
  <c r="D27" i="1"/>
  <c r="G11" i="5"/>
  <c r="I7" i="4"/>
  <c r="H7" i="4"/>
  <c r="I10" i="4"/>
  <c r="H10" i="4"/>
  <c r="G4" i="5"/>
  <c r="H16" i="4"/>
  <c r="H6" i="4"/>
  <c r="H8" i="4"/>
  <c r="D26" i="1" l="1"/>
  <c r="D24" i="1"/>
  <c r="D25" i="1"/>
  <c r="H29" i="1"/>
  <c r="H28" i="1"/>
  <c r="H27" i="1"/>
  <c r="H44" i="1" s="1"/>
  <c r="I17" i="4"/>
  <c r="E26" i="1" l="1"/>
  <c r="H26" i="1" s="1"/>
  <c r="E25" i="1"/>
  <c r="H25" i="1" s="1"/>
  <c r="E24" i="1"/>
  <c r="E30" i="1" s="1"/>
  <c r="D30" i="1"/>
  <c r="D38" i="1"/>
  <c r="H38" i="1" s="1"/>
  <c r="H24" i="1" l="1"/>
  <c r="H30" i="1" s="1"/>
  <c r="H45" i="1" l="1"/>
  <c r="H46" i="1" s="1"/>
  <c r="H50" i="1"/>
  <c r="H40" i="1"/>
</calcChain>
</file>

<file path=xl/sharedStrings.xml><?xml version="1.0" encoding="utf-8"?>
<sst xmlns="http://schemas.openxmlformats.org/spreadsheetml/2006/main" count="238" uniqueCount="192">
  <si>
    <t>Role assignment</t>
  </si>
  <si>
    <t>GENERATOR ROLES - all 3 models independently run the FULL task list (SS4). The token pool below (Generation Tokens sheet) represents ONE model's complete workload; each generator row takes 100% of it, and the 3 rows sum to the true 3-model total. Do not set these below 100% unless a model is only doing a partial run.</t>
  </si>
  <si>
    <t>Role</t>
  </si>
  <si>
    <t>Model (dropdown)</t>
  </si>
  <si>
    <t>Input tokens
(allocated)</t>
  </si>
  <si>
    <t>Output tokens
(allocated)</t>
  </si>
  <si>
    <t>Input €/MTok</t>
  </si>
  <si>
    <t>Output €/MTok</t>
  </si>
  <si>
    <t>Cost (€)</t>
  </si>
  <si>
    <t>Frontier generator</t>
  </si>
  <si>
    <t>GPT-5.6 Sol</t>
  </si>
  <si>
    <t>EU open-weight generator #1</t>
  </si>
  <si>
    <t>Mistral Medium 3.5</t>
  </si>
  <si>
    <t>EU open-weight generator #2 (optional — set share to 0 if not used)</t>
  </si>
  <si>
    <t>TildeOpen 30B</t>
  </si>
  <si>
    <t>Judge family 1</t>
  </si>
  <si>
    <t>Claude Opus 5</t>
  </si>
  <si>
    <t>Judge family 2</t>
  </si>
  <si>
    <t>Qwen3.8 Max (0902)</t>
  </si>
  <si>
    <t>Judge family 3</t>
  </si>
  <si>
    <t>Kimi K3</t>
  </si>
  <si>
    <t>Judge shares sum check:</t>
  </si>
  <si>
    <t>Generator/judge overlap check:</t>
  </si>
  <si>
    <t>Generator full-replication check:</t>
  </si>
  <si>
    <t>Cost by assigned model (standard / non-batch pricing)</t>
  </si>
  <si>
    <t>Model (from role rows above)</t>
  </si>
  <si>
    <t>Runs full
workload</t>
  </si>
  <si>
    <t>Input Tokens</t>
  </si>
  <si>
    <t>Output Tokens</t>
  </si>
  <si>
    <t>Cost (€, standard)</t>
  </si>
  <si>
    <t>TOTAL (standard pricing, no batch discount)</t>
  </si>
  <si>
    <t>Zero-priced-model check:</t>
  </si>
  <si>
    <t>HPC self-host override (use if a generator role is assigned an EU model with no hosted rate)</t>
  </si>
  <si>
    <t>If TildeOpen 30B or EuroLLM is assigned to a generator role above, its per-MTok cost resolves to €0 from the registry. Toggle below to instead charge that share's tokens at the HPC marginal-cost rate you set on Model Registry (row 29). This does NOT change the cost table above automatically (to keep that table a clean per-model audit trail) — it's a separate, explicit add-on line, so you can see both numbers.</t>
  </si>
  <si>
    <t>Apply HPC marginal cost to zero-priced generator shares? (1=yes, 0=no)</t>
  </si>
  <si>
    <t>HPC add-on cost (applies HPC €/GPU-hour-derived rate to any generator row priced €0/€0 above)</t>
  </si>
  <si>
    <t>TOTAL incl. HPC add-on for self-hosted EU models</t>
  </si>
  <si>
    <t>With Batch API discount applied to judging calls (async-eligible; 50% typical)</t>
  </si>
  <si>
    <t>Judging is inherently offline/async — a strong Batch API candidate. Generation stages are often run interactively during development, so shown unchanged here as the conservative case.</t>
  </si>
  <si>
    <t>Judging cost at 50% (Batch API)</t>
  </si>
  <si>
    <t>Generation cost (unchanged, standard pricing)</t>
  </si>
  <si>
    <t>TOTAL (judging batched, generation standard)</t>
  </si>
  <si>
    <t>Pilot run cost (SS7: 3 items/language, all tasks/conditions)</t>
  </si>
  <si>
    <t>Pilot is 6/30 source items = 20% of the main corpus by item count. Conservative upper-bound (pilot judging volume is typically smaller in practice).</t>
  </si>
  <si>
    <t>Estimated pilot cost (~20% of main-corpus item count, standard pricing)</t>
  </si>
  <si>
    <t>Model Registry — the ONLY place model names/prices/roles are typed</t>
  </si>
  <si>
    <t>Every other sheet looks up rows from here by name (INDEX/MATCH). To rename, reprice, or swap a model: edit ONE row here. To add a model, add a row and extend the dropdown range on Budget Summary.</t>
  </si>
  <si>
    <t>USD -&gt; EUR rate</t>
  </si>
  <si>
    <t>Model name
(edit here to rename)</t>
  </si>
  <si>
    <t>Category</t>
  </si>
  <si>
    <t>Input $/MTok</t>
  </si>
  <si>
    <t>Output $/MTok</t>
  </si>
  <si>
    <t>Batch
discount</t>
  </si>
  <si>
    <t>Input €/MTok
(auto)</t>
  </si>
  <si>
    <t>Output €/MTok
(auto)</t>
  </si>
  <si>
    <t>Provider / hosting note</t>
  </si>
  <si>
    <t>Frontier</t>
  </si>
  <si>
    <t>GPT-5.6 Terra</t>
  </si>
  <si>
    <t>GPT-5.6 Luna</t>
  </si>
  <si>
    <t>GPT-6 Astra</t>
  </si>
  <si>
    <t>Claude Sonnet 5</t>
  </si>
  <si>
    <t>Claude Haiku 4.5</t>
  </si>
  <si>
    <t>Gemini 3.8 Flash</t>
  </si>
  <si>
    <t>n/a listed</t>
  </si>
  <si>
    <t>Mistral Large 3</t>
  </si>
  <si>
    <t>EU open-weight</t>
  </si>
  <si>
    <t>n/a</t>
  </si>
  <si>
    <t>EuroLLM (22B-class)</t>
  </si>
  <si>
    <t>Non-EU open-weight</t>
  </si>
  <si>
    <t>MiniMax M3</t>
  </si>
  <si>
    <t>GLM 5.2</t>
  </si>
  <si>
    <t>Llama 3.3 70B Instruct</t>
  </si>
  <si>
    <t>(add new models below this line if needed; extend named range Model_Names and dropdown source accordingly)</t>
  </si>
  <si>
    <t>HPC self-hosting block — for EU open-weight models with no confirmed hosted API</t>
  </si>
  <si>
    <t>Applies to any model that we can and want to self-host for the experiments.</t>
  </si>
  <si>
    <t>Parameter</t>
  </si>
  <si>
    <t>Value</t>
  </si>
  <si>
    <t>Note</t>
  </si>
  <si>
    <t>GPU type assumed</t>
  </si>
  <si>
    <t>1x A100 80GB or equiv.</t>
  </si>
  <si>
    <t>Set to your cluster's actual allocation unit</t>
  </si>
  <si>
    <t>Throughput (tok/s, batched, 30B-class EU model)</t>
  </si>
  <si>
    <t>Rough batched-serving estimate for a ~22-30B model on one A100; verify against your own vLLM/TGI stack once deployed</t>
  </si>
  <si>
    <t>External cloud-equivalent rate (EUR/GPU-hour)</t>
  </si>
  <si>
    <t>e.g. an on-demand A100 rate, for opportunity-cost comparison only — your HPC allocation itself may be a sunk/grant-funded cost with €0 marginal price to the project</t>
  </si>
  <si>
    <t>Treat HPC marginal cost as (EUR)</t>
  </si>
  <si>
    <t>Set to 0 if your HPC allocation is pre-paid/granted and has no per-use billback to this project; set to the external-rate-derived figure if you must account for opportunity cost or shared-cluster chargeback</t>
  </si>
  <si>
    <t>Token &amp; Structural Assumptions</t>
  </si>
  <si>
    <t>tok_per_word</t>
  </si>
  <si>
    <t>Average tokens/word across EN+NL, generous rounding</t>
  </si>
  <si>
    <t>story_tokens</t>
  </si>
  <si>
    <t>Representative story length (1200-2000 words -&gt; ~1600-2700 tok; use mid-high)</t>
  </si>
  <si>
    <t>spec_tokens</t>
  </si>
  <si>
    <t>Full 36-sub-dim specification, in or out</t>
  </si>
  <si>
    <t>premise_tokens</t>
  </si>
  <si>
    <t>Short premise paragraph</t>
  </si>
  <si>
    <t>plan_tokens</t>
  </si>
  <si>
    <t>Story outline/beat sheet output</t>
  </si>
  <si>
    <t>review_output_tokens</t>
  </si>
  <si>
    <t>Structured critique output (review stage)</t>
  </si>
  <si>
    <t>repair_output_tokens</t>
  </si>
  <si>
    <t>Output tokens per repair pass (conservative: near-full redraft)</t>
  </si>
  <si>
    <t>avg_repair_passes</t>
  </si>
  <si>
    <t>Average repair iterations per item, bounded by k_max (not all items hit max)</t>
  </si>
  <si>
    <t>dimension_list_tokens</t>
  </si>
  <si>
    <t>Six dimension names + one-line definitions, used in A1 prompt</t>
  </si>
  <si>
    <t>prompt_overhead_tokens</t>
  </si>
  <si>
    <t>System/instruction overhead added to every call, input side</t>
  </si>
  <si>
    <t>Structural counts (from design doc)</t>
  </si>
  <si>
    <t>n_source_items</t>
  </si>
  <si>
    <t>SS2.1</t>
  </si>
  <si>
    <t>n_scratch_items</t>
  </si>
  <si>
    <t>SS2.3</t>
  </si>
  <si>
    <t>n_genfamilies</t>
  </si>
  <si>
    <t>n_judge_families</t>
  </si>
  <si>
    <t>SS6 — none from the generator family set</t>
  </si>
  <si>
    <t>taskA_generated_conditions</t>
  </si>
  <si>
    <t>C1,C2,C4,C5,C6 — C7 is the human item, not generated (correction to doc's literal '6')</t>
  </si>
  <si>
    <t>taskD_outputs_per_item</t>
  </si>
  <si>
    <t>1 scratch story + 6 variants, per doc SS4 (10x7x2=140)</t>
  </si>
  <si>
    <t>Generation-Side Token Estimate (per SS4 story counts)</t>
  </si>
  <si>
    <t>n_genfamilies now = 3 (frontier + up to 2 EU open-weight). Totals below are PER-GENERATOR-FAMILY-SUMMED; Budget Summary splits this pool across whichever specific models you assign to generator roles.</t>
  </si>
  <si>
    <t>Task / Condition</t>
  </si>
  <si>
    <t># Items</t>
  </si>
  <si>
    <t>Multiplier</t>
  </si>
  <si>
    <t># Generators</t>
  </si>
  <si>
    <t>Total
Gen Events</t>
  </si>
  <si>
    <t>Input tok
/event</t>
  </si>
  <si>
    <t>Output tok
/event</t>
  </si>
  <si>
    <t>Total Input
Tokens</t>
  </si>
  <si>
    <t>Total Output
Tokens</t>
  </si>
  <si>
    <t>Task A: Story draft (5 generated conditions)</t>
  </si>
  <si>
    <t>Covers flat-call floor; C1/C2/C4 extra stages costed below</t>
  </si>
  <si>
    <t>Task A: C1/C2 spec-writing</t>
  </si>
  <si>
    <t>Mult=2 (C1,C2 only)</t>
  </si>
  <si>
    <t>Task A: Plan stage (C1,C2,C4)</t>
  </si>
  <si>
    <t>Mult=3; C3/C5 skip plan, C6 unknown/excluded pending pilot</t>
  </si>
  <si>
    <t>Task A: Review stage (C1,C4)</t>
  </si>
  <si>
    <t>Mult=2; C4 token-matched to C1 per design</t>
  </si>
  <si>
    <t>Task A: Repair stage (C1 only)</t>
  </si>
  <si>
    <t>Mult=avg_repair_passes</t>
  </si>
  <si>
    <t>Task B: Story draft from gold spec (C1,C2,C3)</t>
  </si>
  <si>
    <t>Mult=3; 180 total per SS4 (30x3x2)</t>
  </si>
  <si>
    <t>Task B: Plan+review+repair overhead (C1)</t>
  </si>
  <si>
    <t>Mult=1; bundled approximation of C1's Task B pipeline overhead</t>
  </si>
  <si>
    <t>Task C: Spec extraction from source (C1)</t>
  </si>
  <si>
    <t>Mult=1</t>
  </si>
  <si>
    <t>Task C: 6 variant drafts/item (C1 full pipeline)</t>
  </si>
  <si>
    <t>Mult=6; 360 total per SS4 (30x6x2)</t>
  </si>
  <si>
    <t>Task D: Scratch story + 6 variants (C1, 7/item)</t>
  </si>
  <si>
    <t>Mult=taskD_outputs_per_item; 140 total per SS4 (10x7x2)</t>
  </si>
  <si>
    <t>Gold spec model-drafting (SS2.2, one-time)</t>
  </si>
  <si>
    <t>Mult=1, Gens=1 (single model, one-time)</t>
  </si>
  <si>
    <t>Parallel-spec translation (SS2.4, one-time)</t>
  </si>
  <si>
    <t>Negligible; included for completeness</t>
  </si>
  <si>
    <t>TOTAL — Generation side (all generator families combined)</t>
  </si>
  <si>
    <t>Judging-Side Token Estimate (call counts from design doc SS5.6, already totalled across 3 judge families)</t>
  </si>
  <si>
    <t>Instrument</t>
  </si>
  <si>
    <t>Model-judge
calls</t>
  </si>
  <si>
    <t>Input tok/call</t>
  </si>
  <si>
    <t>Output tok/call</t>
  </si>
  <si>
    <t>% of judging
total (input)</t>
  </si>
  <si>
    <t>RQ</t>
  </si>
  <si>
    <t>Derivation</t>
  </si>
  <si>
    <t>S1 Specificity screening</t>
  </si>
  <si>
    <t>RQ3</t>
  </si>
  <si>
    <t>1 spec value + criteria in; 3 binary checks out.</t>
  </si>
  <si>
    <t>S2 Gold recovery</t>
  </si>
  <si>
    <t>Extracted value + gold value + criteria in; 3-level judgement + brief rationale out.</t>
  </si>
  <si>
    <t>A1 Dimension ID (+A2 bundled)</t>
  </si>
  <si>
    <t>RQ1,RQ5</t>
  </si>
  <si>
    <t>Source+variant story pair + dimension list in; choice+rationale+A2 follow-up out.</t>
  </si>
  <si>
    <t>A3 Spec-story matching</t>
  </si>
  <si>
    <t>RQ1,RQ2</t>
  </si>
  <si>
    <t>1 spec + 2 stories in; choice+rationale out.</t>
  </si>
  <si>
    <t>A4 Story-spec attribution</t>
  </si>
  <si>
    <t>1 story + 3 specs in; choice+rationale out.</t>
  </si>
  <si>
    <t>A5 Sub-dimension recovery</t>
  </si>
  <si>
    <t>RQ1</t>
  </si>
  <si>
    <t>1 story + 4 candidate values in; single choice out.</t>
  </si>
  <si>
    <t>A6 Premise attribution</t>
  </si>
  <si>
    <t>calib.</t>
  </si>
  <si>
    <t>1 story + 3 premises in; single choice out.</t>
  </si>
  <si>
    <t>Q1 Pairwise preference</t>
  </si>
  <si>
    <t>RQ4</t>
  </si>
  <si>
    <t>2 full stories in; preference+consistency+brief rationale out.</t>
  </si>
  <si>
    <t>TOTAL — Judging side (all 3 judge families combined)</t>
  </si>
  <si>
    <t>Set to 1: full replication across models is now handled on Budget Summary (each generator role runs 100% of this ONE-model pool, and 3 role-rows sum together).</t>
  </si>
  <si>
    <t xml:space="preserve">Generators: </t>
  </si>
  <si>
    <t>Judges:</t>
  </si>
  <si>
    <t>update to current rate before finalizing</t>
  </si>
  <si>
    <t>Experimental Budget: Token &amp; Cost Estimation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</si>
</sst>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€#,##0.00"/>
    <numFmt numFmtId="165" formatCode="0.0%"/>
  </numFmts>
  <fonts count="9" x14ac:knownFonts="1">
    <font>
      <sz val="11"/>
      <color theme="1"/>
      <name val="Calibri"/>
      <family val="2"/>
      <charset val="1"/>
    </font>
    <font>
      <b/>
      <sz val="15"/>
      <name val="Arial"/>
      <charset val="1"/>
    </font>
    <font>
      <i/>
      <sz val="9"/>
      <name val="Arial"/>
      <charset val="1"/>
    </font>
    <font>
      <b/>
      <sz val="12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b/>
      <sz val="11"/>
      <color rgb="FFC00000"/>
      <name val="Arial"/>
      <charset val="1"/>
    </font>
    <font>
      <sz val="11"/>
      <color rgb="FF0000FF"/>
      <name val="Arial"/>
      <charset val="1"/>
    </font>
    <font>
      <b/>
      <sz val="14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2CC"/>
        <bgColor rgb="FFFFFFFF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rgb="FFFFFF00"/>
      </patternFill>
    </fill>
    <fill>
      <patternFill patternType="solid">
        <fgColor rgb="FFC6E0B4"/>
        <bgColor rgb="FFD9E1F2"/>
      </patternFill>
    </fill>
    <fill>
      <patternFill patternType="solid">
        <fgColor rgb="FFD9E1F2"/>
        <bgColor rgb="FFC6E0B4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0" fillId="0" borderId="1" xfId="0" applyBorder="1" applyAlignment="1">
      <alignment wrapText="1"/>
    </xf>
    <xf numFmtId="0" fontId="0" fillId="3" borderId="1" xfId="0" applyFill="1" applyBorder="1" applyAlignment="1">
      <alignment wrapText="1"/>
    </xf>
    <xf numFmtId="9" fontId="0" fillId="3" borderId="1" xfId="0" applyNumberFormat="1" applyFill="1" applyBorder="1" applyAlignment="1">
      <alignment wrapText="1"/>
    </xf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wrapText="1"/>
    </xf>
    <xf numFmtId="9" fontId="0" fillId="0" borderId="1" xfId="0" applyNumberFormat="1" applyBorder="1" applyAlignment="1">
      <alignment wrapText="1"/>
    </xf>
    <xf numFmtId="3" fontId="0" fillId="0" borderId="1" xfId="0" applyNumberFormat="1" applyBorder="1" applyAlignment="1">
      <alignment wrapText="1"/>
    </xf>
    <xf numFmtId="164" fontId="0" fillId="0" borderId="1" xfId="0" applyNumberFormat="1" applyBorder="1" applyAlignment="1">
      <alignment wrapText="1"/>
    </xf>
    <xf numFmtId="0" fontId="5" fillId="4" borderId="1" xfId="0" applyFont="1" applyFill="1" applyBorder="1" applyAlignment="1">
      <alignment wrapText="1"/>
    </xf>
    <xf numFmtId="0" fontId="0" fillId="4" borderId="1" xfId="0" applyFill="1" applyBorder="1" applyAlignment="1">
      <alignment wrapText="1"/>
    </xf>
    <xf numFmtId="3" fontId="5" fillId="4" borderId="1" xfId="0" applyNumberFormat="1" applyFont="1" applyFill="1" applyBorder="1" applyAlignment="1">
      <alignment wrapText="1"/>
    </xf>
    <xf numFmtId="164" fontId="5" fillId="4" borderId="1" xfId="0" applyNumberFormat="1" applyFont="1" applyFill="1" applyBorder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7" fillId="5" borderId="1" xfId="0" applyFont="1" applyFill="1" applyBorder="1" applyAlignment="1">
      <alignment wrapText="1"/>
    </xf>
    <xf numFmtId="0" fontId="5" fillId="4" borderId="0" xfId="0" applyFont="1" applyFill="1" applyAlignment="1">
      <alignment wrapText="1"/>
    </xf>
    <xf numFmtId="0" fontId="0" fillId="4" borderId="0" xfId="0" applyFill="1" applyAlignment="1">
      <alignment wrapText="1"/>
    </xf>
    <xf numFmtId="164" fontId="5" fillId="4" borderId="0" xfId="0" applyNumberFormat="1" applyFont="1" applyFill="1" applyAlignment="1">
      <alignment wrapText="1"/>
    </xf>
    <xf numFmtId="164" fontId="0" fillId="0" borderId="0" xfId="0" applyNumberFormat="1" applyAlignment="1">
      <alignment wrapText="1"/>
    </xf>
    <xf numFmtId="0" fontId="5" fillId="6" borderId="0" xfId="0" applyFont="1" applyFill="1" applyAlignment="1">
      <alignment wrapText="1"/>
    </xf>
    <xf numFmtId="0" fontId="0" fillId="6" borderId="0" xfId="0" applyFill="1" applyAlignment="1">
      <alignment wrapText="1"/>
    </xf>
    <xf numFmtId="164" fontId="5" fillId="6" borderId="0" xfId="0" applyNumberFormat="1" applyFont="1" applyFill="1" applyAlignment="1">
      <alignment wrapText="1"/>
    </xf>
    <xf numFmtId="164" fontId="5" fillId="0" borderId="0" xfId="0" applyNumberFormat="1" applyFont="1" applyAlignment="1">
      <alignment wrapText="1"/>
    </xf>
    <xf numFmtId="0" fontId="8" fillId="0" borderId="0" xfId="0" applyFont="1" applyAlignment="1">
      <alignment wrapText="1"/>
    </xf>
    <xf numFmtId="0" fontId="7" fillId="5" borderId="0" xfId="0" applyFont="1" applyFill="1" applyAlignment="1">
      <alignment wrapText="1"/>
    </xf>
    <xf numFmtId="0" fontId="2" fillId="0" borderId="0" xfId="0" applyFont="1" applyAlignment="1">
      <alignment wrapText="1"/>
    </xf>
    <xf numFmtId="0" fontId="5" fillId="7" borderId="1" xfId="0" applyFont="1" applyFill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7" borderId="1" xfId="0" applyFill="1" applyBorder="1" applyAlignment="1">
      <alignment wrapText="1"/>
    </xf>
    <xf numFmtId="0" fontId="5" fillId="6" borderId="1" xfId="0" applyFont="1" applyFill="1" applyBorder="1" applyAlignment="1">
      <alignment wrapText="1"/>
    </xf>
    <xf numFmtId="0" fontId="0" fillId="6" borderId="1" xfId="0" applyFill="1" applyBorder="1" applyAlignment="1">
      <alignment wrapText="1"/>
    </xf>
    <xf numFmtId="165" fontId="0" fillId="0" borderId="1" xfId="0" applyNumberForma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99999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2"/>
  <sheetViews>
    <sheetView tabSelected="1" topLeftCell="A25" zoomScaleNormal="100" workbookViewId="0">
      <selection activeCell="A43" sqref="A43:H43"/>
    </sheetView>
  </sheetViews>
  <sheetFormatPr defaultColWidth="8.6640625" defaultRowHeight="14.4" x14ac:dyDescent="0.3"/>
  <cols>
    <col min="1" max="1" width="60.109375" style="7" customWidth="1"/>
    <col min="2" max="2" width="40" style="7" customWidth="1"/>
    <col min="3" max="3" width="14" style="7" customWidth="1"/>
    <col min="4" max="8" width="16" style="7" customWidth="1"/>
    <col min="9" max="16384" width="8.6640625" style="7"/>
  </cols>
  <sheetData>
    <row r="1" spans="1:8" ht="19.2" x14ac:dyDescent="0.35">
      <c r="A1" s="19" t="s">
        <v>191</v>
      </c>
      <c r="B1" s="19"/>
      <c r="C1" s="19"/>
      <c r="D1" s="19"/>
      <c r="E1" s="19"/>
      <c r="F1" s="19"/>
      <c r="G1" s="19"/>
      <c r="H1" s="19"/>
    </row>
    <row r="2" spans="1:8" x14ac:dyDescent="0.3">
      <c r="A2" s="3"/>
      <c r="B2" s="3"/>
      <c r="C2" s="3"/>
      <c r="D2" s="3"/>
      <c r="E2" s="3"/>
      <c r="F2" s="3"/>
      <c r="G2" s="3"/>
      <c r="H2" s="3"/>
    </row>
    <row r="4" spans="1:8" ht="15.6" x14ac:dyDescent="0.3">
      <c r="A4" s="10" t="s">
        <v>0</v>
      </c>
    </row>
    <row r="5" spans="1:8" ht="27" customHeight="1" x14ac:dyDescent="0.3">
      <c r="A5" s="3" t="s">
        <v>1</v>
      </c>
      <c r="B5" s="3"/>
      <c r="C5" s="3"/>
      <c r="D5" s="3"/>
      <c r="E5" s="3"/>
      <c r="F5" s="3"/>
      <c r="G5" s="3"/>
      <c r="H5" s="3"/>
    </row>
    <row r="7" spans="1:8" ht="27.6" x14ac:dyDescent="0.3">
      <c r="A7" s="1" t="s">
        <v>2</v>
      </c>
      <c r="B7" s="1" t="s">
        <v>3</v>
      </c>
      <c r="C7" s="1" t="s">
        <v>188</v>
      </c>
      <c r="D7" s="1" t="s">
        <v>4</v>
      </c>
      <c r="E7" s="1" t="s">
        <v>5</v>
      </c>
      <c r="F7" s="1" t="s">
        <v>6</v>
      </c>
      <c r="G7" s="1" t="s">
        <v>7</v>
      </c>
      <c r="H7" s="1" t="s">
        <v>8</v>
      </c>
    </row>
    <row r="8" spans="1:8" x14ac:dyDescent="0.3">
      <c r="A8" s="4" t="s">
        <v>9</v>
      </c>
      <c r="B8" s="5" t="s">
        <v>10</v>
      </c>
      <c r="C8" s="6">
        <v>1</v>
      </c>
    </row>
    <row r="9" spans="1:8" x14ac:dyDescent="0.3">
      <c r="A9" s="4" t="s">
        <v>11</v>
      </c>
      <c r="B9" s="5" t="s">
        <v>12</v>
      </c>
      <c r="C9" s="6">
        <v>1</v>
      </c>
    </row>
    <row r="10" spans="1:8" x14ac:dyDescent="0.3">
      <c r="A10" s="4" t="s">
        <v>13</v>
      </c>
      <c r="B10" s="5" t="s">
        <v>62</v>
      </c>
      <c r="C10" s="6">
        <v>1</v>
      </c>
    </row>
    <row r="12" spans="1:8" ht="14.4" customHeight="1" x14ac:dyDescent="0.3">
      <c r="A12" s="3"/>
      <c r="B12" s="3"/>
      <c r="C12" s="3"/>
      <c r="D12" s="3"/>
      <c r="E12" s="3"/>
      <c r="F12" s="3"/>
      <c r="G12" s="3"/>
      <c r="H12" s="3"/>
    </row>
    <row r="14" spans="1:8" ht="27.6" x14ac:dyDescent="0.3">
      <c r="A14" s="1" t="s">
        <v>2</v>
      </c>
      <c r="B14" s="1" t="s">
        <v>3</v>
      </c>
      <c r="C14" s="1" t="s">
        <v>189</v>
      </c>
      <c r="D14" s="1" t="s">
        <v>4</v>
      </c>
      <c r="E14" s="1" t="s">
        <v>5</v>
      </c>
      <c r="F14" s="1" t="s">
        <v>6</v>
      </c>
      <c r="G14" s="1" t="s">
        <v>7</v>
      </c>
      <c r="H14" s="1" t="s">
        <v>8</v>
      </c>
    </row>
    <row r="15" spans="1:8" x14ac:dyDescent="0.3">
      <c r="A15" s="4" t="s">
        <v>15</v>
      </c>
      <c r="B15" s="5" t="s">
        <v>16</v>
      </c>
      <c r="C15" s="6">
        <v>0.34</v>
      </c>
    </row>
    <row r="16" spans="1:8" x14ac:dyDescent="0.3">
      <c r="A16" s="4" t="s">
        <v>17</v>
      </c>
      <c r="B16" s="5" t="s">
        <v>18</v>
      </c>
      <c r="C16" s="6">
        <v>0.33</v>
      </c>
    </row>
    <row r="17" spans="1:8" x14ac:dyDescent="0.3">
      <c r="A17" s="4" t="s">
        <v>19</v>
      </c>
      <c r="B17" s="5" t="s">
        <v>20</v>
      </c>
      <c r="C17" s="6">
        <v>0.33</v>
      </c>
    </row>
    <row r="18" spans="1:8" ht="42" x14ac:dyDescent="0.3">
      <c r="A18" s="8" t="s">
        <v>21</v>
      </c>
      <c r="B18" s="9" t="str">
        <f>IF(ROUND(C15+C16+C17,4)&lt;&gt;1,"WARNING: judge shares sum to "&amp;TEXT(C15+C16+C17,"0%")&amp;", not 100% of the combined pool -- since the pool is already 3-judges-worth, shares must sum to 100% (not each be 100%) or tokens will be mis-counted","OK: judge shares sum to 100% of the combined 3-judge pool (each judge's own full pass)")</f>
        <v>OK: judge shares sum to 100% of the combined 3-judge pool (each judge's own full pass)</v>
      </c>
    </row>
    <row r="19" spans="1:8" ht="28.2" x14ac:dyDescent="0.3">
      <c r="A19" s="8" t="s">
        <v>22</v>
      </c>
      <c r="B19" s="9" t="str">
        <f>IF(OR(($B$8=$B$15),($B$8=$B$16),($B$8=$B$17),($B$9=$B$15),($B$9=$B$16),($B$9=$B$17),($B$10=$B$15),($B$10=$B$16),($B$10=$B$17)),"WARNING: a judge model matches a generator model","OK: judge pool disjoint from generator pool")</f>
        <v>OK: judge pool disjoint from generator pool</v>
      </c>
    </row>
    <row r="20" spans="1:8" ht="42" x14ac:dyDescent="0.3">
      <c r="A20" s="8" t="s">
        <v>23</v>
      </c>
      <c r="B20" s="9" t="str">
        <f>IF(OR(AND(B8&lt;&gt;"",C8&lt;&gt;1),AND(B9&lt;&gt;"",C9&lt;&gt;1),AND(B10&lt;&gt;"",C10&lt;&gt;1)),"WARNING: a generator role is not at 100% -- the pool represents ONE model's workload, so each assigned generator should be 100% (3 rows correctly sum to 300% = 3x total, since 3 full independent models run)","OK: all assigned generators at 100% (pool=1 model's workload, 3 rows replicate to true 3-model total)")</f>
        <v>OK: all assigned generators at 100% (pool=1 model's workload, 3 rows replicate to true 3-model total)</v>
      </c>
    </row>
    <row r="21" spans="1:8" ht="15.6" x14ac:dyDescent="0.3">
      <c r="A21" s="10" t="s">
        <v>24</v>
      </c>
    </row>
    <row r="22" spans="1:8" ht="13.2" customHeight="1" x14ac:dyDescent="0.3">
      <c r="A22" s="3"/>
      <c r="B22" s="3"/>
      <c r="C22" s="3"/>
      <c r="D22" s="3"/>
      <c r="E22" s="3"/>
      <c r="F22" s="3"/>
      <c r="G22" s="3"/>
      <c r="H22" s="3"/>
    </row>
    <row r="23" spans="1:8" ht="27.6" x14ac:dyDescent="0.3">
      <c r="A23" s="1" t="s">
        <v>25</v>
      </c>
      <c r="B23" s="1" t="s">
        <v>2</v>
      </c>
      <c r="C23" s="1" t="s">
        <v>26</v>
      </c>
      <c r="D23" s="1" t="s">
        <v>27</v>
      </c>
      <c r="E23" s="1" t="s">
        <v>28</v>
      </c>
      <c r="F23" s="1" t="s">
        <v>6</v>
      </c>
      <c r="G23" s="1" t="s">
        <v>7</v>
      </c>
      <c r="H23" s="1" t="s">
        <v>29</v>
      </c>
    </row>
    <row r="24" spans="1:8" x14ac:dyDescent="0.3">
      <c r="A24" s="4" t="str">
        <f>B8</f>
        <v>GPT-5.6 Sol</v>
      </c>
      <c r="B24" s="4" t="str">
        <f>A8</f>
        <v>Frontier generator</v>
      </c>
      <c r="C24" s="11">
        <f>C8</f>
        <v>1</v>
      </c>
      <c r="D24" s="12">
        <f>'Generation Tokens'!H$17*C8</f>
        <v>3669900</v>
      </c>
      <c r="E24" s="12">
        <f>'Generation Tokens'!I$17*C8</f>
        <v>5156250</v>
      </c>
      <c r="F24" s="13">
        <f>IFERROR(INDEX('Model Registry'!$F$7:$F$23,MATCH($B$8,'Model Registry'!$A$7:$A$23,0)),0)</f>
        <v>3.68</v>
      </c>
      <c r="G24" s="13">
        <f>IFERROR(INDEX('Model Registry'!$G$7:$G$23,MATCH($B$8,'Model Registry'!$A$7:$A$23,0)),0)</f>
        <v>18.400000000000002</v>
      </c>
      <c r="H24" s="13">
        <f t="shared" ref="H24:H29" si="0">(D24/1000000*F24)+(E24/1000000*G24)</f>
        <v>108.38023200000002</v>
      </c>
    </row>
    <row r="25" spans="1:8" x14ac:dyDescent="0.3">
      <c r="A25" s="4" t="str">
        <f>B9</f>
        <v>Mistral Medium 3.5</v>
      </c>
      <c r="B25" s="4" t="str">
        <f>A9</f>
        <v>EU open-weight generator #1</v>
      </c>
      <c r="C25" s="11">
        <f>C9</f>
        <v>1</v>
      </c>
      <c r="D25" s="12">
        <f>'Generation Tokens'!H$17*C9</f>
        <v>3669900</v>
      </c>
      <c r="E25" s="12">
        <f>'Generation Tokens'!I$17*C9</f>
        <v>5156250</v>
      </c>
      <c r="F25" s="13">
        <f>IFERROR(INDEX('Model Registry'!$F$7:$F$23,MATCH($B$9,'Model Registry'!$A$7:$A$23,0)),0)</f>
        <v>1.3800000000000001</v>
      </c>
      <c r="G25" s="13">
        <f>IFERROR(INDEX('Model Registry'!$G$7:$G$23,MATCH($B$9,'Model Registry'!$A$7:$A$23,0)),0)</f>
        <v>6.9</v>
      </c>
      <c r="H25" s="13">
        <f t="shared" si="0"/>
        <v>40.642586999999999</v>
      </c>
    </row>
    <row r="26" spans="1:8" ht="28.8" x14ac:dyDescent="0.3">
      <c r="A26" s="4" t="str">
        <f>B10</f>
        <v>Gemini 3.8 Flash</v>
      </c>
      <c r="B26" s="4" t="str">
        <f>A10</f>
        <v>EU open-weight generator #2 (optional — set share to 0 if not used)</v>
      </c>
      <c r="C26" s="11">
        <f>C10</f>
        <v>1</v>
      </c>
      <c r="D26" s="12">
        <f>'Generation Tokens'!H$17*C10</f>
        <v>3669900</v>
      </c>
      <c r="E26" s="12">
        <f>'Generation Tokens'!I$17*C10</f>
        <v>5156250</v>
      </c>
      <c r="F26" s="13">
        <f>IFERROR(INDEX('Model Registry'!$F$7:$F$23,MATCH($B$10,'Model Registry'!$A$7:$A$23,0)),0)</f>
        <v>0.69000000000000006</v>
      </c>
      <c r="G26" s="13">
        <f>IFERROR(INDEX('Model Registry'!$G$7:$G$23,MATCH($B$10,'Model Registry'!$A$7:$A$23,0)),0)</f>
        <v>3.45</v>
      </c>
      <c r="H26" s="13">
        <f t="shared" si="0"/>
        <v>20.321293499999999</v>
      </c>
    </row>
    <row r="27" spans="1:8" x14ac:dyDescent="0.3">
      <c r="A27" s="4" t="str">
        <f>B15</f>
        <v>Claude Opus 5</v>
      </c>
      <c r="B27" s="4" t="str">
        <f>A15</f>
        <v>Judge family 1</v>
      </c>
      <c r="C27" s="11">
        <f>C15</f>
        <v>0.34</v>
      </c>
      <c r="D27" s="12">
        <f>'Judging Tokens'!E$12*C15</f>
        <v>9412560</v>
      </c>
      <c r="E27" s="12">
        <f>'Judging Tokens'!F$12*C15</f>
        <v>203796.00000000003</v>
      </c>
      <c r="F27" s="13">
        <f>IFERROR(INDEX('Model Registry'!$F$7:$F$23,MATCH($B$15,'Model Registry'!$A$7:$A$23,0)),0)</f>
        <v>4.6000000000000005</v>
      </c>
      <c r="G27" s="13">
        <f>IFERROR(INDEX('Model Registry'!$G$7:$G$23,MATCH($B$15,'Model Registry'!$A$7:$A$23,0)),0)</f>
        <v>23</v>
      </c>
      <c r="H27" s="13">
        <f t="shared" si="0"/>
        <v>47.985084000000001</v>
      </c>
    </row>
    <row r="28" spans="1:8" x14ac:dyDescent="0.3">
      <c r="A28" s="4" t="str">
        <f>B16</f>
        <v>Qwen3.8 Max (0902)</v>
      </c>
      <c r="B28" s="4" t="str">
        <f>A16</f>
        <v>Judge family 2</v>
      </c>
      <c r="C28" s="11">
        <f>C16</f>
        <v>0.33</v>
      </c>
      <c r="D28" s="12">
        <f>'Judging Tokens'!E$12*C16</f>
        <v>9135720</v>
      </c>
      <c r="E28" s="12">
        <f>'Judging Tokens'!F$12*C16</f>
        <v>197802</v>
      </c>
      <c r="F28" s="13">
        <f>IFERROR(INDEX('Model Registry'!$F$7:$F$23,MATCH($B$16,'Model Registry'!$A$7:$A$23,0)),0)</f>
        <v>1.84</v>
      </c>
      <c r="G28" s="13">
        <f>IFERROR(INDEX('Model Registry'!$G$7:$G$23,MATCH($B$16,'Model Registry'!$A$7:$A$23,0)),0)</f>
        <v>5.5200000000000005</v>
      </c>
      <c r="H28" s="13">
        <f t="shared" si="0"/>
        <v>17.901591839999998</v>
      </c>
    </row>
    <row r="29" spans="1:8" x14ac:dyDescent="0.3">
      <c r="A29" s="4" t="str">
        <f>B17</f>
        <v>Kimi K3</v>
      </c>
      <c r="B29" s="4" t="str">
        <f>A17</f>
        <v>Judge family 3</v>
      </c>
      <c r="C29" s="11">
        <f>C17</f>
        <v>0.33</v>
      </c>
      <c r="D29" s="12">
        <f>'Judging Tokens'!E$12*C17</f>
        <v>9135720</v>
      </c>
      <c r="E29" s="12">
        <f>'Judging Tokens'!F$12*C17</f>
        <v>197802</v>
      </c>
      <c r="F29" s="13">
        <f>IFERROR(INDEX('Model Registry'!$F$7:$F$23,MATCH($B$17,'Model Registry'!$A$7:$A$23,0)),0)</f>
        <v>0.55200000000000005</v>
      </c>
      <c r="G29" s="13">
        <f>IFERROR(INDEX('Model Registry'!$G$7:$G$23,MATCH($B$17,'Model Registry'!$A$7:$A$23,0)),0)</f>
        <v>2.3000000000000003</v>
      </c>
      <c r="H29" s="13">
        <f t="shared" si="0"/>
        <v>5.4978620400000002</v>
      </c>
    </row>
    <row r="30" spans="1:8" x14ac:dyDescent="0.3">
      <c r="A30" s="14" t="s">
        <v>30</v>
      </c>
      <c r="B30" s="15"/>
      <c r="C30" s="15"/>
      <c r="D30" s="16">
        <f>SUM(D24:D29)</f>
        <v>38693700</v>
      </c>
      <c r="E30" s="16">
        <f>SUM(E24:E29)</f>
        <v>16068150</v>
      </c>
      <c r="F30" s="15"/>
      <c r="G30" s="15"/>
      <c r="H30" s="17">
        <f>SUM(H24:H29)</f>
        <v>240.72865038000003</v>
      </c>
    </row>
    <row r="32" spans="1:8" x14ac:dyDescent="0.3">
      <c r="A32" s="8" t="s">
        <v>31</v>
      </c>
      <c r="B32" s="18" t="str">
        <f>IF(OR(AND(C24&gt;0,F24=0,G24=0),AND(C25&gt;0,F25=0,G25=0),AND(C26&gt;0,F26=0,G26=0),AND(C27&gt;0,F27=0,G27=0),AND(C28&gt;0,F28=0,G28=0),AND(C29&gt;0,F29=0,G29=0)),"NOTE: one or more assigned models show €0/€0 — likely a self-host-only EU model (TildeOpen/EuroLLM). Fill in HPC marginal cost below, or a confirmed inference-provider rate on Model Registry, before treating totals as complete.","OK: all assigned models with nonzero share have a nonzero rate (hosted or filled-in)")</f>
        <v>OK: all assigned models with nonzero share have a nonzero rate (hosted or filled-in)</v>
      </c>
      <c r="C32" s="18"/>
      <c r="D32" s="18"/>
      <c r="E32" s="18"/>
      <c r="F32" s="18"/>
      <c r="G32" s="18"/>
      <c r="H32" s="18"/>
    </row>
    <row r="34" spans="1:8" ht="31.2" x14ac:dyDescent="0.3">
      <c r="A34" s="10" t="s">
        <v>32</v>
      </c>
    </row>
    <row r="35" spans="1:8" ht="29.4" customHeight="1" x14ac:dyDescent="0.3">
      <c r="A35" s="3" t="s">
        <v>33</v>
      </c>
      <c r="B35" s="3"/>
      <c r="C35" s="3"/>
      <c r="D35" s="3"/>
      <c r="E35" s="3"/>
      <c r="F35" s="3"/>
      <c r="G35" s="3"/>
      <c r="H35" s="3"/>
    </row>
    <row r="37" spans="1:8" x14ac:dyDescent="0.3">
      <c r="A37" s="4" t="s">
        <v>34</v>
      </c>
      <c r="B37" s="20">
        <v>1</v>
      </c>
      <c r="C37" s="4"/>
      <c r="D37" s="4"/>
      <c r="E37" s="4"/>
      <c r="F37" s="4"/>
      <c r="G37" s="4"/>
      <c r="H37" s="4"/>
    </row>
    <row r="38" spans="1:8" ht="28.8" x14ac:dyDescent="0.3">
      <c r="A38" s="4" t="s">
        <v>35</v>
      </c>
      <c r="B38" s="4"/>
      <c r="C38" s="4"/>
      <c r="D38" s="12">
        <f>SUMPRODUCT((F24:F26=0)*(G24:G26=0)*(D24:D26+E24:E26))</f>
        <v>0</v>
      </c>
      <c r="E38" s="4"/>
      <c r="F38" s="4"/>
      <c r="G38" s="4"/>
      <c r="H38" s="13">
        <f>B37*(D38/1000000)*'Model Registry'!$B$35</f>
        <v>0</v>
      </c>
    </row>
    <row r="40" spans="1:8" x14ac:dyDescent="0.3">
      <c r="A40" s="21" t="s">
        <v>36</v>
      </c>
      <c r="B40" s="22"/>
      <c r="C40" s="22"/>
      <c r="D40" s="22"/>
      <c r="E40" s="22"/>
      <c r="F40" s="22"/>
      <c r="G40" s="22"/>
      <c r="H40" s="23">
        <f>H30+H38</f>
        <v>240.72865038000003</v>
      </c>
    </row>
    <row r="42" spans="1:8" ht="31.2" x14ac:dyDescent="0.3">
      <c r="A42" s="10" t="s">
        <v>37</v>
      </c>
    </row>
    <row r="43" spans="1:8" x14ac:dyDescent="0.3">
      <c r="A43" s="3" t="s">
        <v>38</v>
      </c>
      <c r="B43" s="3"/>
      <c r="C43" s="3"/>
      <c r="D43" s="3"/>
      <c r="E43" s="3"/>
      <c r="F43" s="3"/>
      <c r="G43" s="3"/>
      <c r="H43" s="3"/>
    </row>
    <row r="44" spans="1:8" x14ac:dyDescent="0.3">
      <c r="A44" s="7" t="s">
        <v>39</v>
      </c>
      <c r="H44" s="24">
        <f>SUM(H27:H29)*0.5</f>
        <v>35.692268939999998</v>
      </c>
    </row>
    <row r="45" spans="1:8" x14ac:dyDescent="0.3">
      <c r="A45" s="7" t="s">
        <v>40</v>
      </c>
      <c r="H45" s="24">
        <f>SUM(H24:H26)</f>
        <v>169.34411250000002</v>
      </c>
    </row>
    <row r="46" spans="1:8" x14ac:dyDescent="0.3">
      <c r="A46" s="25" t="s">
        <v>41</v>
      </c>
      <c r="B46" s="26"/>
      <c r="C46" s="26"/>
      <c r="D46" s="26"/>
      <c r="E46" s="26"/>
      <c r="F46" s="26"/>
      <c r="G46" s="26"/>
      <c r="H46" s="27">
        <f>H44+H45</f>
        <v>205.03638144000001</v>
      </c>
    </row>
    <row r="48" spans="1:8" ht="31.2" x14ac:dyDescent="0.3">
      <c r="A48" s="10" t="s">
        <v>42</v>
      </c>
    </row>
    <row r="49" spans="1:8" x14ac:dyDescent="0.3">
      <c r="A49" s="3" t="s">
        <v>43</v>
      </c>
      <c r="B49" s="3"/>
      <c r="C49" s="3"/>
      <c r="D49" s="3"/>
      <c r="E49" s="3"/>
      <c r="F49" s="3"/>
      <c r="G49" s="3"/>
      <c r="H49" s="3"/>
    </row>
    <row r="50" spans="1:8" ht="28.2" x14ac:dyDescent="0.3">
      <c r="A50" s="8" t="s">
        <v>44</v>
      </c>
      <c r="H50" s="28">
        <f>H30*0.2</f>
        <v>48.145730076000007</v>
      </c>
    </row>
    <row r="52" spans="1:8" ht="15.6" x14ac:dyDescent="0.3">
      <c r="A52" s="10"/>
    </row>
  </sheetData>
  <mergeCells count="9">
    <mergeCell ref="B32:H32"/>
    <mergeCell ref="A35:H35"/>
    <mergeCell ref="A43:H43"/>
    <mergeCell ref="A49:H49"/>
    <mergeCell ref="A1:H1"/>
    <mergeCell ref="A2:H2"/>
    <mergeCell ref="A5:H5"/>
    <mergeCell ref="A12:H12"/>
    <mergeCell ref="A22:H22"/>
  </mergeCell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model" error="Pick a model name that exists in the Model Registry sheet (column A)." promptTitle="Model selection" prompt="Choose a model from the Model Registry." xr:uid="{00000000-0002-0000-0000-000000000000}">
          <x14:formula1>
            <xm:f>'Model Registry'!$A$7:$A$30</xm:f>
          </x14:formula1>
          <x14:formula2>
            <xm:f>0</xm:f>
          </x14:formula2>
          <xm:sqref>B8:B10 B15:B17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5"/>
  <sheetViews>
    <sheetView zoomScale="106" zoomScaleNormal="106" workbookViewId="0">
      <pane ySplit="6" topLeftCell="A22" activePane="bottomLeft" state="frozen"/>
      <selection pane="bottomLeft" activeCell="D3" sqref="D3"/>
    </sheetView>
  </sheetViews>
  <sheetFormatPr defaultColWidth="8.6640625" defaultRowHeight="14.4" x14ac:dyDescent="0.3"/>
  <cols>
    <col min="1" max="1" width="30" style="7" customWidth="1"/>
    <col min="2" max="2" width="46.109375" style="7" customWidth="1"/>
    <col min="3" max="4" width="16" style="7" customWidth="1"/>
    <col min="5" max="5" width="14" style="7" customWidth="1"/>
    <col min="6" max="6" width="16" style="7" customWidth="1"/>
    <col min="7" max="7" width="22" style="7" customWidth="1"/>
    <col min="8" max="8" width="40" style="7" customWidth="1"/>
    <col min="9" max="16384" width="8.6640625" style="7"/>
  </cols>
  <sheetData>
    <row r="1" spans="1:8" ht="17.399999999999999" x14ac:dyDescent="0.3">
      <c r="A1" s="29" t="s">
        <v>45</v>
      </c>
      <c r="B1" s="29"/>
      <c r="C1" s="29"/>
      <c r="D1" s="29"/>
      <c r="E1" s="29"/>
      <c r="F1" s="29"/>
      <c r="G1" s="29"/>
      <c r="H1" s="29"/>
    </row>
    <row r="2" spans="1:8" x14ac:dyDescent="0.3">
      <c r="A2" s="3" t="s">
        <v>46</v>
      </c>
      <c r="B2" s="3"/>
      <c r="C2" s="3"/>
      <c r="D2" s="3"/>
      <c r="E2" s="3"/>
      <c r="F2" s="3"/>
      <c r="G2" s="3"/>
      <c r="H2" s="3"/>
    </row>
    <row r="4" spans="1:8" ht="24" x14ac:dyDescent="0.3">
      <c r="A4" s="8" t="s">
        <v>47</v>
      </c>
      <c r="B4" s="30">
        <v>0.92</v>
      </c>
      <c r="C4" s="31" t="s">
        <v>190</v>
      </c>
    </row>
    <row r="6" spans="1:8" ht="27.6" x14ac:dyDescent="0.3">
      <c r="A6" s="1" t="s">
        <v>48</v>
      </c>
      <c r="B6" s="1" t="s">
        <v>49</v>
      </c>
      <c r="C6" s="1" t="s">
        <v>50</v>
      </c>
      <c r="D6" s="1" t="s">
        <v>51</v>
      </c>
      <c r="E6" s="1" t="s">
        <v>52</v>
      </c>
      <c r="F6" s="1" t="s">
        <v>53</v>
      </c>
      <c r="G6" s="1" t="s">
        <v>54</v>
      </c>
      <c r="H6" s="1" t="s">
        <v>55</v>
      </c>
    </row>
    <row r="7" spans="1:8" x14ac:dyDescent="0.3">
      <c r="A7" s="4" t="s">
        <v>10</v>
      </c>
      <c r="B7" s="4" t="s">
        <v>56</v>
      </c>
      <c r="C7" s="20">
        <v>4</v>
      </c>
      <c r="D7" s="20">
        <v>20</v>
      </c>
      <c r="E7" s="11">
        <v>0.5</v>
      </c>
      <c r="F7" s="13">
        <f t="shared" ref="F7:F23" si="0">C7*$B$4</f>
        <v>3.68</v>
      </c>
      <c r="G7" s="13">
        <f t="shared" ref="G7:G23" si="1">D7*$B$4</f>
        <v>18.400000000000002</v>
      </c>
      <c r="H7" s="2"/>
    </row>
    <row r="8" spans="1:8" x14ac:dyDescent="0.3">
      <c r="A8" s="4" t="s">
        <v>57</v>
      </c>
      <c r="B8" s="4" t="s">
        <v>56</v>
      </c>
      <c r="C8" s="20">
        <v>2</v>
      </c>
      <c r="D8" s="20">
        <v>12</v>
      </c>
      <c r="E8" s="11">
        <v>0.5</v>
      </c>
      <c r="F8" s="13">
        <f t="shared" si="0"/>
        <v>1.84</v>
      </c>
      <c r="G8" s="13">
        <f t="shared" si="1"/>
        <v>11.040000000000001</v>
      </c>
      <c r="H8" s="2"/>
    </row>
    <row r="9" spans="1:8" x14ac:dyDescent="0.3">
      <c r="A9" s="4" t="s">
        <v>58</v>
      </c>
      <c r="B9" s="4" t="s">
        <v>56</v>
      </c>
      <c r="C9" s="20">
        <v>0.2</v>
      </c>
      <c r="D9" s="20">
        <v>1.2</v>
      </c>
      <c r="E9" s="11">
        <v>0.5</v>
      </c>
      <c r="F9" s="13">
        <f t="shared" si="0"/>
        <v>0.18400000000000002</v>
      </c>
      <c r="G9" s="13">
        <f t="shared" si="1"/>
        <v>1.1040000000000001</v>
      </c>
      <c r="H9" s="2"/>
    </row>
    <row r="10" spans="1:8" x14ac:dyDescent="0.3">
      <c r="A10" s="4" t="s">
        <v>59</v>
      </c>
      <c r="B10" s="4" t="s">
        <v>56</v>
      </c>
      <c r="C10" s="20">
        <v>10</v>
      </c>
      <c r="D10" s="20">
        <v>50</v>
      </c>
      <c r="E10" s="11">
        <v>0.5</v>
      </c>
      <c r="F10" s="13">
        <f t="shared" si="0"/>
        <v>9.2000000000000011</v>
      </c>
      <c r="G10" s="13">
        <f t="shared" si="1"/>
        <v>46</v>
      </c>
      <c r="H10" s="2"/>
    </row>
    <row r="11" spans="1:8" x14ac:dyDescent="0.3">
      <c r="A11" s="4" t="s">
        <v>60</v>
      </c>
      <c r="B11" s="4" t="s">
        <v>56</v>
      </c>
      <c r="C11" s="20">
        <v>2</v>
      </c>
      <c r="D11" s="20">
        <v>10</v>
      </c>
      <c r="E11" s="11">
        <v>0.5</v>
      </c>
      <c r="F11" s="13">
        <f t="shared" si="0"/>
        <v>1.84</v>
      </c>
      <c r="G11" s="13">
        <f t="shared" si="1"/>
        <v>9.2000000000000011</v>
      </c>
      <c r="H11" s="2"/>
    </row>
    <row r="12" spans="1:8" x14ac:dyDescent="0.3">
      <c r="A12" s="4" t="s">
        <v>16</v>
      </c>
      <c r="B12" s="4" t="s">
        <v>56</v>
      </c>
      <c r="C12" s="20">
        <v>5</v>
      </c>
      <c r="D12" s="20">
        <v>25</v>
      </c>
      <c r="E12" s="11">
        <v>0.5</v>
      </c>
      <c r="F12" s="13">
        <f t="shared" si="0"/>
        <v>4.6000000000000005</v>
      </c>
      <c r="G12" s="13">
        <f t="shared" si="1"/>
        <v>23</v>
      </c>
      <c r="H12" s="2"/>
    </row>
    <row r="13" spans="1:8" x14ac:dyDescent="0.3">
      <c r="A13" s="4" t="s">
        <v>61</v>
      </c>
      <c r="B13" s="4" t="s">
        <v>56</v>
      </c>
      <c r="C13" s="20">
        <v>1</v>
      </c>
      <c r="D13" s="20">
        <v>5</v>
      </c>
      <c r="E13" s="11">
        <v>0.5</v>
      </c>
      <c r="F13" s="13">
        <f t="shared" si="0"/>
        <v>0.92</v>
      </c>
      <c r="G13" s="13">
        <f t="shared" si="1"/>
        <v>4.6000000000000005</v>
      </c>
      <c r="H13" s="2"/>
    </row>
    <row r="14" spans="1:8" x14ac:dyDescent="0.3">
      <c r="A14" s="4" t="s">
        <v>62</v>
      </c>
      <c r="B14" s="4" t="s">
        <v>56</v>
      </c>
      <c r="C14" s="20">
        <v>0.75</v>
      </c>
      <c r="D14" s="20">
        <v>3.75</v>
      </c>
      <c r="E14" s="11" t="s">
        <v>63</v>
      </c>
      <c r="F14" s="13">
        <f t="shared" si="0"/>
        <v>0.69000000000000006</v>
      </c>
      <c r="G14" s="13">
        <f t="shared" si="1"/>
        <v>3.45</v>
      </c>
      <c r="H14" s="2"/>
    </row>
    <row r="15" spans="1:8" x14ac:dyDescent="0.3">
      <c r="A15" s="4" t="s">
        <v>64</v>
      </c>
      <c r="B15" s="4" t="s">
        <v>65</v>
      </c>
      <c r="C15" s="20">
        <v>0.5</v>
      </c>
      <c r="D15" s="20">
        <v>1.5</v>
      </c>
      <c r="E15" s="4" t="s">
        <v>63</v>
      </c>
      <c r="F15" s="13">
        <f t="shared" si="0"/>
        <v>0.46</v>
      </c>
      <c r="G15" s="13">
        <f t="shared" si="1"/>
        <v>1.3800000000000001</v>
      </c>
      <c r="H15" s="2"/>
    </row>
    <row r="16" spans="1:8" x14ac:dyDescent="0.3">
      <c r="A16" s="4" t="s">
        <v>12</v>
      </c>
      <c r="B16" s="4" t="s">
        <v>65</v>
      </c>
      <c r="C16" s="20">
        <v>1.5</v>
      </c>
      <c r="D16" s="20">
        <v>7.5</v>
      </c>
      <c r="E16" s="4" t="s">
        <v>63</v>
      </c>
      <c r="F16" s="13">
        <f t="shared" si="0"/>
        <v>1.3800000000000001</v>
      </c>
      <c r="G16" s="13">
        <f t="shared" si="1"/>
        <v>6.9</v>
      </c>
      <c r="H16" s="2"/>
    </row>
    <row r="17" spans="1:8" x14ac:dyDescent="0.3">
      <c r="A17" s="4" t="s">
        <v>14</v>
      </c>
      <c r="B17" s="4" t="s">
        <v>65</v>
      </c>
      <c r="C17" s="20">
        <v>0</v>
      </c>
      <c r="D17" s="20">
        <v>0</v>
      </c>
      <c r="E17" s="4" t="s">
        <v>66</v>
      </c>
      <c r="F17" s="13">
        <f t="shared" si="0"/>
        <v>0</v>
      </c>
      <c r="G17" s="13">
        <f t="shared" si="1"/>
        <v>0</v>
      </c>
      <c r="H17" s="2"/>
    </row>
    <row r="18" spans="1:8" x14ac:dyDescent="0.3">
      <c r="A18" s="4" t="s">
        <v>67</v>
      </c>
      <c r="B18" s="4" t="s">
        <v>65</v>
      </c>
      <c r="C18" s="20">
        <v>0</v>
      </c>
      <c r="D18" s="20">
        <v>0</v>
      </c>
      <c r="E18" s="4" t="s">
        <v>66</v>
      </c>
      <c r="F18" s="13">
        <f t="shared" si="0"/>
        <v>0</v>
      </c>
      <c r="G18" s="13">
        <f t="shared" si="1"/>
        <v>0</v>
      </c>
      <c r="H18" s="2"/>
    </row>
    <row r="19" spans="1:8" x14ac:dyDescent="0.3">
      <c r="A19" s="4" t="s">
        <v>18</v>
      </c>
      <c r="B19" s="4" t="s">
        <v>68</v>
      </c>
      <c r="C19" s="20">
        <v>2</v>
      </c>
      <c r="D19" s="20">
        <v>6</v>
      </c>
      <c r="E19" s="4" t="s">
        <v>63</v>
      </c>
      <c r="F19" s="13">
        <f t="shared" si="0"/>
        <v>1.84</v>
      </c>
      <c r="G19" s="13">
        <f t="shared" si="1"/>
        <v>5.5200000000000005</v>
      </c>
      <c r="H19" s="2"/>
    </row>
    <row r="20" spans="1:8" x14ac:dyDescent="0.3">
      <c r="A20" s="4" t="s">
        <v>20</v>
      </c>
      <c r="B20" s="4" t="s">
        <v>68</v>
      </c>
      <c r="C20" s="20">
        <v>0.6</v>
      </c>
      <c r="D20" s="20">
        <v>2.5</v>
      </c>
      <c r="E20" s="4" t="s">
        <v>63</v>
      </c>
      <c r="F20" s="13">
        <f t="shared" si="0"/>
        <v>0.55200000000000005</v>
      </c>
      <c r="G20" s="13">
        <f t="shared" si="1"/>
        <v>2.3000000000000003</v>
      </c>
      <c r="H20" s="2"/>
    </row>
    <row r="21" spans="1:8" x14ac:dyDescent="0.3">
      <c r="A21" s="4" t="s">
        <v>69</v>
      </c>
      <c r="B21" s="4" t="s">
        <v>68</v>
      </c>
      <c r="C21" s="20">
        <v>0.3</v>
      </c>
      <c r="D21" s="20">
        <v>1</v>
      </c>
      <c r="E21" s="4" t="s">
        <v>63</v>
      </c>
      <c r="F21" s="13">
        <f t="shared" si="0"/>
        <v>0.27600000000000002</v>
      </c>
      <c r="G21" s="13">
        <f t="shared" si="1"/>
        <v>0.92</v>
      </c>
      <c r="H21" s="2"/>
    </row>
    <row r="22" spans="1:8" x14ac:dyDescent="0.3">
      <c r="A22" s="4" t="s">
        <v>70</v>
      </c>
      <c r="B22" s="4" t="s">
        <v>68</v>
      </c>
      <c r="C22" s="20">
        <v>0.5</v>
      </c>
      <c r="D22" s="20">
        <v>2</v>
      </c>
      <c r="E22" s="4" t="s">
        <v>63</v>
      </c>
      <c r="F22" s="13">
        <f t="shared" si="0"/>
        <v>0.46</v>
      </c>
      <c r="G22" s="13">
        <f t="shared" si="1"/>
        <v>1.84</v>
      </c>
      <c r="H22" s="2"/>
    </row>
    <row r="23" spans="1:8" x14ac:dyDescent="0.3">
      <c r="A23" s="4" t="s">
        <v>71</v>
      </c>
      <c r="B23" s="4" t="s">
        <v>68</v>
      </c>
      <c r="C23" s="20">
        <v>0.1</v>
      </c>
      <c r="D23" s="20">
        <v>0.4</v>
      </c>
      <c r="E23" s="4" t="s">
        <v>63</v>
      </c>
      <c r="F23" s="13">
        <f t="shared" si="0"/>
        <v>9.2000000000000012E-2</v>
      </c>
      <c r="G23" s="13">
        <f t="shared" si="1"/>
        <v>0.36800000000000005</v>
      </c>
      <c r="H23" s="2"/>
    </row>
    <row r="25" spans="1:8" ht="46.8" x14ac:dyDescent="0.3">
      <c r="A25" s="31" t="s">
        <v>72</v>
      </c>
    </row>
    <row r="27" spans="1:8" ht="62.4" x14ac:dyDescent="0.3">
      <c r="A27" s="10" t="s">
        <v>73</v>
      </c>
    </row>
    <row r="28" spans="1:8" x14ac:dyDescent="0.3">
      <c r="A28" s="3" t="s">
        <v>74</v>
      </c>
      <c r="B28" s="3"/>
      <c r="C28" s="3"/>
      <c r="D28" s="3"/>
      <c r="E28" s="3"/>
      <c r="F28" s="3"/>
      <c r="G28" s="3"/>
      <c r="H28" s="3"/>
    </row>
    <row r="29" spans="1:8" x14ac:dyDescent="0.3">
      <c r="A29" s="3"/>
      <c r="B29" s="3"/>
      <c r="C29" s="3"/>
      <c r="D29" s="3"/>
      <c r="E29" s="3"/>
      <c r="F29" s="3"/>
      <c r="G29" s="3"/>
      <c r="H29" s="3"/>
    </row>
    <row r="31" spans="1:8" x14ac:dyDescent="0.3">
      <c r="A31" s="32" t="s">
        <v>75</v>
      </c>
      <c r="B31" s="32" t="s">
        <v>76</v>
      </c>
      <c r="C31" s="32" t="s">
        <v>77</v>
      </c>
    </row>
    <row r="32" spans="1:8" ht="22.8" x14ac:dyDescent="0.3">
      <c r="A32" s="4" t="s">
        <v>78</v>
      </c>
      <c r="B32" s="20" t="s">
        <v>79</v>
      </c>
      <c r="C32" s="2" t="s">
        <v>80</v>
      </c>
    </row>
    <row r="33" spans="1:3" ht="79.8" x14ac:dyDescent="0.3">
      <c r="A33" s="4" t="s">
        <v>81</v>
      </c>
      <c r="B33" s="20">
        <v>1800</v>
      </c>
      <c r="C33" s="2" t="s">
        <v>82</v>
      </c>
    </row>
    <row r="34" spans="1:3" ht="114" x14ac:dyDescent="0.3">
      <c r="A34" s="4" t="s">
        <v>83</v>
      </c>
      <c r="B34" s="20">
        <v>2.2000000000000002</v>
      </c>
      <c r="C34" s="2" t="s">
        <v>84</v>
      </c>
    </row>
    <row r="35" spans="1:3" ht="136.80000000000001" x14ac:dyDescent="0.3">
      <c r="A35" s="4" t="s">
        <v>85</v>
      </c>
      <c r="B35" s="20">
        <v>0</v>
      </c>
      <c r="C35" s="2" t="s">
        <v>86</v>
      </c>
    </row>
  </sheetData>
  <mergeCells count="4">
    <mergeCell ref="A1:H1"/>
    <mergeCell ref="A2:H2"/>
    <mergeCell ref="A28:H28"/>
    <mergeCell ref="A29:H29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1"/>
  <sheetViews>
    <sheetView zoomScaleNormal="100" workbookViewId="0">
      <pane ySplit="3" topLeftCell="A4" activePane="bottomLeft" state="frozen"/>
      <selection pane="bottomLeft" activeCell="G11" sqref="G11"/>
    </sheetView>
  </sheetViews>
  <sheetFormatPr defaultColWidth="8.6640625" defaultRowHeight="14.4" x14ac:dyDescent="0.3"/>
  <cols>
    <col min="1" max="1" width="38" style="7" customWidth="1"/>
    <col min="2" max="2" width="14" style="7" customWidth="1"/>
    <col min="3" max="3" width="45" style="7" customWidth="1"/>
    <col min="4" max="16384" width="8.6640625" style="7"/>
  </cols>
  <sheetData>
    <row r="1" spans="1:3" ht="17.399999999999999" x14ac:dyDescent="0.3">
      <c r="A1" s="29" t="s">
        <v>87</v>
      </c>
      <c r="B1" s="29"/>
      <c r="C1" s="29"/>
    </row>
    <row r="3" spans="1:3" x14ac:dyDescent="0.3">
      <c r="A3" s="32" t="s">
        <v>75</v>
      </c>
      <c r="B3" s="32" t="s">
        <v>76</v>
      </c>
      <c r="C3" s="32" t="s">
        <v>77</v>
      </c>
    </row>
    <row r="4" spans="1:3" x14ac:dyDescent="0.3">
      <c r="A4" s="4" t="s">
        <v>88</v>
      </c>
      <c r="B4" s="20">
        <v>1.35</v>
      </c>
      <c r="C4" s="33" t="s">
        <v>89</v>
      </c>
    </row>
    <row r="5" spans="1:3" ht="24" x14ac:dyDescent="0.3">
      <c r="A5" s="4" t="s">
        <v>90</v>
      </c>
      <c r="B5" s="20">
        <v>2200</v>
      </c>
      <c r="C5" s="33" t="s">
        <v>91</v>
      </c>
    </row>
    <row r="6" spans="1:3" x14ac:dyDescent="0.3">
      <c r="A6" s="4" t="s">
        <v>92</v>
      </c>
      <c r="B6" s="20">
        <v>2000</v>
      </c>
      <c r="C6" s="33" t="s">
        <v>93</v>
      </c>
    </row>
    <row r="7" spans="1:3" x14ac:dyDescent="0.3">
      <c r="A7" s="4" t="s">
        <v>94</v>
      </c>
      <c r="B7" s="20">
        <v>130</v>
      </c>
      <c r="C7" s="33" t="s">
        <v>95</v>
      </c>
    </row>
    <row r="8" spans="1:3" x14ac:dyDescent="0.3">
      <c r="A8" s="4" t="s">
        <v>96</v>
      </c>
      <c r="B8" s="20">
        <v>1000</v>
      </c>
      <c r="C8" s="33" t="s">
        <v>97</v>
      </c>
    </row>
    <row r="9" spans="1:3" x14ac:dyDescent="0.3">
      <c r="A9" s="4" t="s">
        <v>98</v>
      </c>
      <c r="B9" s="20">
        <v>450</v>
      </c>
      <c r="C9" s="33" t="s">
        <v>99</v>
      </c>
    </row>
    <row r="10" spans="1:3" ht="24" x14ac:dyDescent="0.3">
      <c r="A10" s="4" t="s">
        <v>100</v>
      </c>
      <c r="B10" s="20">
        <v>1800</v>
      </c>
      <c r="C10" s="33" t="s">
        <v>101</v>
      </c>
    </row>
    <row r="11" spans="1:3" ht="24" x14ac:dyDescent="0.3">
      <c r="A11" s="4" t="s">
        <v>102</v>
      </c>
      <c r="B11" s="20">
        <v>1.5</v>
      </c>
      <c r="C11" s="33" t="s">
        <v>103</v>
      </c>
    </row>
    <row r="12" spans="1:3" ht="24" x14ac:dyDescent="0.3">
      <c r="A12" s="4" t="s">
        <v>104</v>
      </c>
      <c r="B12" s="20">
        <v>150</v>
      </c>
      <c r="C12" s="33" t="s">
        <v>105</v>
      </c>
    </row>
    <row r="13" spans="1:3" x14ac:dyDescent="0.3">
      <c r="A13" s="4" t="s">
        <v>106</v>
      </c>
      <c r="B13" s="20">
        <v>250</v>
      </c>
      <c r="C13" s="33" t="s">
        <v>107</v>
      </c>
    </row>
    <row r="14" spans="1:3" x14ac:dyDescent="0.3">
      <c r="A14" s="4"/>
      <c r="B14" s="4"/>
      <c r="C14" s="4"/>
    </row>
    <row r="15" spans="1:3" x14ac:dyDescent="0.3">
      <c r="A15" s="32" t="s">
        <v>108</v>
      </c>
      <c r="B15" s="34"/>
      <c r="C15" s="34"/>
    </row>
    <row r="16" spans="1:3" x14ac:dyDescent="0.3">
      <c r="A16" s="4" t="s">
        <v>109</v>
      </c>
      <c r="B16" s="20">
        <v>30</v>
      </c>
      <c r="C16" s="33" t="s">
        <v>110</v>
      </c>
    </row>
    <row r="17" spans="1:3" x14ac:dyDescent="0.3">
      <c r="A17" s="4" t="s">
        <v>111</v>
      </c>
      <c r="B17" s="20">
        <v>10</v>
      </c>
      <c r="C17" s="33" t="s">
        <v>112</v>
      </c>
    </row>
    <row r="18" spans="1:3" ht="35.4" x14ac:dyDescent="0.3">
      <c r="A18" s="4" t="s">
        <v>113</v>
      </c>
      <c r="B18" s="20">
        <v>3</v>
      </c>
      <c r="C18" s="33" t="s">
        <v>187</v>
      </c>
    </row>
    <row r="19" spans="1:3" x14ac:dyDescent="0.3">
      <c r="A19" s="4" t="s">
        <v>114</v>
      </c>
      <c r="B19" s="20">
        <v>3</v>
      </c>
      <c r="C19" s="33" t="s">
        <v>115</v>
      </c>
    </row>
    <row r="20" spans="1:3" ht="24" x14ac:dyDescent="0.3">
      <c r="A20" s="4" t="s">
        <v>116</v>
      </c>
      <c r="B20" s="20">
        <v>5</v>
      </c>
      <c r="C20" s="33" t="s">
        <v>117</v>
      </c>
    </row>
    <row r="21" spans="1:3" x14ac:dyDescent="0.3">
      <c r="A21" s="4" t="s">
        <v>118</v>
      </c>
      <c r="B21" s="20">
        <v>7</v>
      </c>
      <c r="C21" s="33" t="s">
        <v>119</v>
      </c>
    </row>
  </sheetData>
  <mergeCells count="1">
    <mergeCell ref="A1:C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7"/>
  <sheetViews>
    <sheetView zoomScaleNormal="100" workbookViewId="0">
      <pane ySplit="4" topLeftCell="A5" activePane="bottomLeft" state="frozen"/>
      <selection pane="bottomLeft" activeCell="M6" sqref="M6"/>
    </sheetView>
  </sheetViews>
  <sheetFormatPr defaultColWidth="8.6640625" defaultRowHeight="14.4" x14ac:dyDescent="0.3"/>
  <cols>
    <col min="1" max="1" width="26" style="7" customWidth="1"/>
    <col min="2" max="2" width="10" style="7" customWidth="1"/>
    <col min="3" max="3" width="12" style="7" customWidth="1"/>
    <col min="4" max="9" width="14" style="7" customWidth="1"/>
    <col min="10" max="10" width="40" style="7" customWidth="1"/>
    <col min="11" max="16384" width="8.6640625" style="7"/>
  </cols>
  <sheetData>
    <row r="1" spans="1:10" ht="17.399999999999999" x14ac:dyDescent="0.3">
      <c r="A1" s="29" t="s">
        <v>120</v>
      </c>
      <c r="B1" s="29"/>
      <c r="C1" s="29"/>
      <c r="D1" s="29"/>
      <c r="E1" s="29"/>
      <c r="F1" s="29"/>
      <c r="G1" s="29"/>
      <c r="H1" s="29"/>
      <c r="I1" s="29"/>
      <c r="J1" s="29"/>
    </row>
    <row r="2" spans="1:10" x14ac:dyDescent="0.3">
      <c r="A2" s="3" t="s">
        <v>121</v>
      </c>
      <c r="B2" s="3"/>
      <c r="C2" s="3"/>
      <c r="D2" s="3"/>
      <c r="E2" s="3"/>
      <c r="F2" s="3"/>
      <c r="G2" s="3"/>
      <c r="H2" s="3"/>
      <c r="I2" s="3"/>
      <c r="J2" s="3"/>
    </row>
    <row r="4" spans="1:10" ht="27.6" x14ac:dyDescent="0.3">
      <c r="A4" s="1" t="s">
        <v>122</v>
      </c>
      <c r="B4" s="1" t="s">
        <v>123</v>
      </c>
      <c r="C4" s="1" t="s">
        <v>124</v>
      </c>
      <c r="D4" s="1" t="s">
        <v>125</v>
      </c>
      <c r="E4" s="1" t="s">
        <v>126</v>
      </c>
      <c r="F4" s="1" t="s">
        <v>127</v>
      </c>
      <c r="G4" s="1" t="s">
        <v>128</v>
      </c>
      <c r="H4" s="1" t="s">
        <v>129</v>
      </c>
      <c r="I4" s="1" t="s">
        <v>130</v>
      </c>
      <c r="J4" s="1" t="s">
        <v>77</v>
      </c>
    </row>
    <row r="5" spans="1:10" ht="28.8" x14ac:dyDescent="0.3">
      <c r="A5" s="4" t="s">
        <v>131</v>
      </c>
      <c r="B5" s="4">
        <f>Assumptions!B16</f>
        <v>30</v>
      </c>
      <c r="C5" s="4">
        <f>Assumptions!B20</f>
        <v>5</v>
      </c>
      <c r="D5" s="4">
        <f>Assumptions!B18</f>
        <v>3</v>
      </c>
      <c r="E5" s="4">
        <f t="shared" ref="E5:E16" si="0">B5*C5*D5</f>
        <v>450</v>
      </c>
      <c r="F5" s="4">
        <f>Assumptions!B13+Assumptions!B7</f>
        <v>380</v>
      </c>
      <c r="G5" s="4">
        <f>Assumptions!B5</f>
        <v>2200</v>
      </c>
      <c r="H5" s="4">
        <f t="shared" ref="H5:H16" si="1">E5*F5</f>
        <v>171000</v>
      </c>
      <c r="I5" s="4">
        <f t="shared" ref="I5:I16" si="2">E5*G5</f>
        <v>990000</v>
      </c>
      <c r="J5" s="33" t="s">
        <v>132</v>
      </c>
    </row>
    <row r="6" spans="1:10" x14ac:dyDescent="0.3">
      <c r="A6" s="4" t="s">
        <v>133</v>
      </c>
      <c r="B6" s="4">
        <f>Assumptions!B16</f>
        <v>30</v>
      </c>
      <c r="C6" s="4">
        <v>2</v>
      </c>
      <c r="D6" s="4">
        <f>Assumptions!B18</f>
        <v>3</v>
      </c>
      <c r="E6" s="4">
        <f t="shared" si="0"/>
        <v>180</v>
      </c>
      <c r="F6" s="4">
        <f>Assumptions!B13+Assumptions!B7</f>
        <v>380</v>
      </c>
      <c r="G6" s="4">
        <f>Assumptions!B6</f>
        <v>2000</v>
      </c>
      <c r="H6" s="4">
        <f t="shared" si="1"/>
        <v>68400</v>
      </c>
      <c r="I6" s="4">
        <f t="shared" si="2"/>
        <v>360000</v>
      </c>
      <c r="J6" s="33" t="s">
        <v>134</v>
      </c>
    </row>
    <row r="7" spans="1:10" ht="24" x14ac:dyDescent="0.3">
      <c r="A7" s="4" t="s">
        <v>135</v>
      </c>
      <c r="B7" s="4">
        <f>Assumptions!B16</f>
        <v>30</v>
      </c>
      <c r="C7" s="4">
        <v>3</v>
      </c>
      <c r="D7" s="4">
        <f>Assumptions!B18</f>
        <v>3</v>
      </c>
      <c r="E7" s="4">
        <f t="shared" si="0"/>
        <v>270</v>
      </c>
      <c r="F7" s="4">
        <f>Assumptions!B13+Assumptions!B6</f>
        <v>2250</v>
      </c>
      <c r="G7" s="4">
        <f>Assumptions!B8</f>
        <v>1000</v>
      </c>
      <c r="H7" s="4">
        <f t="shared" si="1"/>
        <v>607500</v>
      </c>
      <c r="I7" s="4">
        <f t="shared" si="2"/>
        <v>270000</v>
      </c>
      <c r="J7" s="33" t="s">
        <v>136</v>
      </c>
    </row>
    <row r="8" spans="1:10" x14ac:dyDescent="0.3">
      <c r="A8" s="4" t="s">
        <v>137</v>
      </c>
      <c r="B8" s="4">
        <f>Assumptions!B16</f>
        <v>30</v>
      </c>
      <c r="C8" s="4">
        <v>2</v>
      </c>
      <c r="D8" s="4">
        <f>Assumptions!B18</f>
        <v>3</v>
      </c>
      <c r="E8" s="4">
        <f t="shared" si="0"/>
        <v>180</v>
      </c>
      <c r="F8" s="4">
        <f>Assumptions!B13+Assumptions!B5</f>
        <v>2450</v>
      </c>
      <c r="G8" s="4">
        <f>Assumptions!B9</f>
        <v>450</v>
      </c>
      <c r="H8" s="4">
        <f t="shared" si="1"/>
        <v>441000</v>
      </c>
      <c r="I8" s="4">
        <f t="shared" si="2"/>
        <v>81000</v>
      </c>
      <c r="J8" s="33" t="s">
        <v>138</v>
      </c>
    </row>
    <row r="9" spans="1:10" x14ac:dyDescent="0.3">
      <c r="A9" s="4" t="s">
        <v>139</v>
      </c>
      <c r="B9" s="4">
        <f>Assumptions!B16</f>
        <v>30</v>
      </c>
      <c r="C9" s="4">
        <f>Assumptions!B11</f>
        <v>1.5</v>
      </c>
      <c r="D9" s="4">
        <f>Assumptions!B18</f>
        <v>3</v>
      </c>
      <c r="E9" s="4">
        <f t="shared" si="0"/>
        <v>135</v>
      </c>
      <c r="F9" s="4">
        <f>Assumptions!B13+Assumptions!B5+Assumptions!B9</f>
        <v>2900</v>
      </c>
      <c r="G9" s="4">
        <f>Assumptions!B10</f>
        <v>1800</v>
      </c>
      <c r="H9" s="4">
        <f t="shared" si="1"/>
        <v>391500</v>
      </c>
      <c r="I9" s="4">
        <f t="shared" si="2"/>
        <v>243000</v>
      </c>
      <c r="J9" s="33" t="s">
        <v>140</v>
      </c>
    </row>
    <row r="10" spans="1:10" ht="28.8" x14ac:dyDescent="0.3">
      <c r="A10" s="4" t="s">
        <v>141</v>
      </c>
      <c r="B10" s="4">
        <f>Assumptions!B16</f>
        <v>30</v>
      </c>
      <c r="C10" s="4">
        <v>3</v>
      </c>
      <c r="D10" s="4">
        <f>Assumptions!B18</f>
        <v>3</v>
      </c>
      <c r="E10" s="4">
        <f t="shared" si="0"/>
        <v>270</v>
      </c>
      <c r="F10" s="4">
        <f>Assumptions!B13+Assumptions!B6</f>
        <v>2250</v>
      </c>
      <c r="G10" s="4">
        <f>Assumptions!B5</f>
        <v>2200</v>
      </c>
      <c r="H10" s="4">
        <f t="shared" si="1"/>
        <v>607500</v>
      </c>
      <c r="I10" s="4">
        <f t="shared" si="2"/>
        <v>594000</v>
      </c>
      <c r="J10" s="33" t="s">
        <v>142</v>
      </c>
    </row>
    <row r="11" spans="1:10" ht="28.8" x14ac:dyDescent="0.3">
      <c r="A11" s="4" t="s">
        <v>143</v>
      </c>
      <c r="B11" s="4">
        <f>Assumptions!B16</f>
        <v>30</v>
      </c>
      <c r="C11" s="4">
        <v>1</v>
      </c>
      <c r="D11" s="4">
        <f>Assumptions!B18</f>
        <v>3</v>
      </c>
      <c r="E11" s="4">
        <f t="shared" si="0"/>
        <v>90</v>
      </c>
      <c r="F11" s="4">
        <f>Assumptions!B13+Assumptions!B6+Assumptions!B5</f>
        <v>4450</v>
      </c>
      <c r="G11" s="4">
        <f>(Assumptions!B8)+(Assumptions!B9+Assumptions!B10)*Assumptions!B11</f>
        <v>4375</v>
      </c>
      <c r="H11" s="4">
        <f t="shared" si="1"/>
        <v>400500</v>
      </c>
      <c r="I11" s="4">
        <f t="shared" si="2"/>
        <v>393750</v>
      </c>
      <c r="J11" s="33" t="s">
        <v>144</v>
      </c>
    </row>
    <row r="12" spans="1:10" ht="28.8" x14ac:dyDescent="0.3">
      <c r="A12" s="4" t="s">
        <v>145</v>
      </c>
      <c r="B12" s="4">
        <f>Assumptions!B16</f>
        <v>30</v>
      </c>
      <c r="C12" s="4">
        <v>1</v>
      </c>
      <c r="D12" s="4">
        <f>Assumptions!B18</f>
        <v>3</v>
      </c>
      <c r="E12" s="4">
        <f t="shared" si="0"/>
        <v>90</v>
      </c>
      <c r="F12" s="4">
        <f>Assumptions!B13+Assumptions!B5</f>
        <v>2450</v>
      </c>
      <c r="G12" s="4">
        <f>Assumptions!B6</f>
        <v>2000</v>
      </c>
      <c r="H12" s="4">
        <f t="shared" si="1"/>
        <v>220500</v>
      </c>
      <c r="I12" s="4">
        <f t="shared" si="2"/>
        <v>180000</v>
      </c>
      <c r="J12" s="33" t="s">
        <v>146</v>
      </c>
    </row>
    <row r="13" spans="1:10" ht="28.8" x14ac:dyDescent="0.3">
      <c r="A13" s="4" t="s">
        <v>147</v>
      </c>
      <c r="B13" s="4">
        <f>Assumptions!B16</f>
        <v>30</v>
      </c>
      <c r="C13" s="4">
        <v>1</v>
      </c>
      <c r="D13" s="4">
        <f>Assumptions!B18</f>
        <v>3</v>
      </c>
      <c r="E13" s="4">
        <f t="shared" si="0"/>
        <v>90</v>
      </c>
      <c r="F13" s="4">
        <f>Assumptions!B13+Assumptions!B6</f>
        <v>2250</v>
      </c>
      <c r="G13" s="4">
        <f>(Assumptions!B8)+Assumptions!B5+(Assumptions!B9+Assumptions!B10)*Assumptions!B11</f>
        <v>6575</v>
      </c>
      <c r="H13" s="4">
        <f t="shared" si="1"/>
        <v>202500</v>
      </c>
      <c r="I13" s="4">
        <f t="shared" si="2"/>
        <v>591750</v>
      </c>
      <c r="J13" s="33" t="s">
        <v>148</v>
      </c>
    </row>
    <row r="14" spans="1:10" ht="28.8" x14ac:dyDescent="0.3">
      <c r="A14" s="4" t="s">
        <v>149</v>
      </c>
      <c r="B14" s="4">
        <f>Assumptions!B17</f>
        <v>10</v>
      </c>
      <c r="C14" s="4">
        <f>Assumptions!B21</f>
        <v>7</v>
      </c>
      <c r="D14" s="4">
        <f>Assumptions!B18</f>
        <v>3</v>
      </c>
      <c r="E14" s="4">
        <f t="shared" si="0"/>
        <v>210</v>
      </c>
      <c r="F14" s="4">
        <f>Assumptions!B13+Assumptions!B6</f>
        <v>2250</v>
      </c>
      <c r="G14" s="4">
        <f>(Assumptions!B8)+Assumptions!B5+(Assumptions!B9+Assumptions!B10)*Assumptions!B11</f>
        <v>6575</v>
      </c>
      <c r="H14" s="4">
        <f t="shared" si="1"/>
        <v>472500</v>
      </c>
      <c r="I14" s="4">
        <f t="shared" si="2"/>
        <v>1380750</v>
      </c>
      <c r="J14" s="33" t="s">
        <v>150</v>
      </c>
    </row>
    <row r="15" spans="1:10" ht="28.8" x14ac:dyDescent="0.3">
      <c r="A15" s="4" t="s">
        <v>151</v>
      </c>
      <c r="B15" s="4">
        <f>Assumptions!B16</f>
        <v>30</v>
      </c>
      <c r="C15" s="4">
        <v>1</v>
      </c>
      <c r="D15" s="4">
        <v>1</v>
      </c>
      <c r="E15" s="4">
        <f t="shared" si="0"/>
        <v>30</v>
      </c>
      <c r="F15" s="4">
        <f>Assumptions!B13+Assumptions!B5</f>
        <v>2450</v>
      </c>
      <c r="G15" s="4">
        <f>Assumptions!B6</f>
        <v>2000</v>
      </c>
      <c r="H15" s="4">
        <f t="shared" si="1"/>
        <v>73500</v>
      </c>
      <c r="I15" s="4">
        <f t="shared" si="2"/>
        <v>60000</v>
      </c>
      <c r="J15" s="33" t="s">
        <v>152</v>
      </c>
    </row>
    <row r="16" spans="1:10" ht="28.8" x14ac:dyDescent="0.3">
      <c r="A16" s="4" t="s">
        <v>153</v>
      </c>
      <c r="B16" s="4">
        <v>6</v>
      </c>
      <c r="C16" s="4">
        <v>1</v>
      </c>
      <c r="D16" s="4">
        <v>1</v>
      </c>
      <c r="E16" s="4">
        <f t="shared" si="0"/>
        <v>6</v>
      </c>
      <c r="F16" s="4">
        <f>Assumptions!B13+Assumptions!B6</f>
        <v>2250</v>
      </c>
      <c r="G16" s="4">
        <f>Assumptions!B6</f>
        <v>2000</v>
      </c>
      <c r="H16" s="4">
        <f t="shared" si="1"/>
        <v>13500</v>
      </c>
      <c r="I16" s="4">
        <f t="shared" si="2"/>
        <v>12000</v>
      </c>
      <c r="J16" s="33" t="s">
        <v>154</v>
      </c>
    </row>
    <row r="17" spans="1:10" ht="42" x14ac:dyDescent="0.3">
      <c r="A17" s="35" t="s">
        <v>155</v>
      </c>
      <c r="B17" s="36"/>
      <c r="C17" s="36"/>
      <c r="D17" s="36"/>
      <c r="E17" s="35">
        <f>SUM(E5:E16)</f>
        <v>2001</v>
      </c>
      <c r="F17" s="36"/>
      <c r="G17" s="36"/>
      <c r="H17" s="35">
        <f>SUM(H5:H16)</f>
        <v>3669900</v>
      </c>
      <c r="I17" s="35">
        <f>SUM(I5:I16)</f>
        <v>5156250</v>
      </c>
      <c r="J17" s="4"/>
    </row>
  </sheetData>
  <mergeCells count="2">
    <mergeCell ref="A1:J1"/>
    <mergeCell ref="A2:J2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2"/>
  <sheetViews>
    <sheetView zoomScaleNormal="100" workbookViewId="0">
      <pane ySplit="3" topLeftCell="A4" activePane="bottomLeft" state="frozen"/>
      <selection pane="bottomLeft" activeCell="G16" sqref="G16"/>
    </sheetView>
  </sheetViews>
  <sheetFormatPr defaultColWidth="8.6640625" defaultRowHeight="14.4" x14ac:dyDescent="0.3"/>
  <cols>
    <col min="1" max="1" width="22" style="7" customWidth="1"/>
    <col min="2" max="2" width="14" style="7" customWidth="1"/>
    <col min="3" max="4" width="16" style="7" customWidth="1"/>
    <col min="5" max="6" width="14" style="7" customWidth="1"/>
    <col min="7" max="8" width="16" style="7" customWidth="1"/>
    <col min="9" max="9" width="40" style="7" customWidth="1"/>
    <col min="10" max="16384" width="8.6640625" style="7"/>
  </cols>
  <sheetData>
    <row r="1" spans="1:9" ht="17.399999999999999" x14ac:dyDescent="0.3">
      <c r="A1" s="29" t="s">
        <v>156</v>
      </c>
      <c r="B1" s="29"/>
      <c r="C1" s="29"/>
      <c r="D1" s="29"/>
      <c r="E1" s="29"/>
      <c r="F1" s="29"/>
      <c r="G1" s="29"/>
      <c r="H1" s="29"/>
      <c r="I1" s="29"/>
    </row>
    <row r="3" spans="1:9" ht="27.6" x14ac:dyDescent="0.3">
      <c r="A3" s="1" t="s">
        <v>157</v>
      </c>
      <c r="B3" s="1" t="s">
        <v>158</v>
      </c>
      <c r="C3" s="1" t="s">
        <v>159</v>
      </c>
      <c r="D3" s="1" t="s">
        <v>160</v>
      </c>
      <c r="E3" s="1" t="s">
        <v>129</v>
      </c>
      <c r="F3" s="1" t="s">
        <v>130</v>
      </c>
      <c r="G3" s="1" t="s">
        <v>161</v>
      </c>
      <c r="H3" s="1" t="s">
        <v>162</v>
      </c>
      <c r="I3" s="1" t="s">
        <v>163</v>
      </c>
    </row>
    <row r="4" spans="1:9" x14ac:dyDescent="0.3">
      <c r="A4" s="4" t="s">
        <v>164</v>
      </c>
      <c r="B4" s="4">
        <v>2880</v>
      </c>
      <c r="C4" s="20">
        <v>150</v>
      </c>
      <c r="D4" s="20">
        <v>30</v>
      </c>
      <c r="E4" s="4">
        <f t="shared" ref="E4:E11" si="0">B4*C4</f>
        <v>432000</v>
      </c>
      <c r="F4" s="4">
        <f t="shared" ref="F4:F11" si="1">B4*D4</f>
        <v>86400</v>
      </c>
      <c r="G4" s="37">
        <f t="shared" ref="G4:G11" si="2">E4/$E$12</f>
        <v>1.5604681404421327E-2</v>
      </c>
      <c r="H4" s="4" t="s">
        <v>165</v>
      </c>
      <c r="I4" s="33" t="s">
        <v>166</v>
      </c>
    </row>
    <row r="5" spans="1:9" ht="24" x14ac:dyDescent="0.3">
      <c r="A5" s="4" t="s">
        <v>167</v>
      </c>
      <c r="B5" s="4">
        <v>2160</v>
      </c>
      <c r="C5" s="20">
        <v>250</v>
      </c>
      <c r="D5" s="20">
        <v>50</v>
      </c>
      <c r="E5" s="4">
        <f t="shared" si="0"/>
        <v>540000</v>
      </c>
      <c r="F5" s="4">
        <f t="shared" si="1"/>
        <v>108000</v>
      </c>
      <c r="G5" s="37">
        <f t="shared" si="2"/>
        <v>1.950585175552666E-2</v>
      </c>
      <c r="H5" s="4" t="s">
        <v>165</v>
      </c>
      <c r="I5" s="33" t="s">
        <v>168</v>
      </c>
    </row>
    <row r="6" spans="1:9" ht="28.8" x14ac:dyDescent="0.3">
      <c r="A6" s="4" t="s">
        <v>169</v>
      </c>
      <c r="B6" s="4">
        <v>1440</v>
      </c>
      <c r="C6" s="20">
        <v>4600</v>
      </c>
      <c r="D6" s="20">
        <v>90</v>
      </c>
      <c r="E6" s="4">
        <f t="shared" si="0"/>
        <v>6624000</v>
      </c>
      <c r="F6" s="4">
        <f t="shared" si="1"/>
        <v>129600</v>
      </c>
      <c r="G6" s="37">
        <f t="shared" si="2"/>
        <v>0.23927178153446033</v>
      </c>
      <c r="H6" s="4" t="s">
        <v>170</v>
      </c>
      <c r="I6" s="33" t="s">
        <v>171</v>
      </c>
    </row>
    <row r="7" spans="1:9" x14ac:dyDescent="0.3">
      <c r="A7" s="4" t="s">
        <v>172</v>
      </c>
      <c r="B7" s="4">
        <v>720</v>
      </c>
      <c r="C7" s="20">
        <v>6400</v>
      </c>
      <c r="D7" s="20">
        <v>60</v>
      </c>
      <c r="E7" s="4">
        <f t="shared" si="0"/>
        <v>4608000</v>
      </c>
      <c r="F7" s="4">
        <f t="shared" si="1"/>
        <v>43200</v>
      </c>
      <c r="G7" s="37">
        <f t="shared" si="2"/>
        <v>0.16644993498049415</v>
      </c>
      <c r="H7" s="4" t="s">
        <v>173</v>
      </c>
      <c r="I7" s="33" t="s">
        <v>174</v>
      </c>
    </row>
    <row r="8" spans="1:9" x14ac:dyDescent="0.3">
      <c r="A8" s="4" t="s">
        <v>175</v>
      </c>
      <c r="B8" s="4">
        <v>720</v>
      </c>
      <c r="C8" s="20">
        <v>8200</v>
      </c>
      <c r="D8" s="20">
        <v>60</v>
      </c>
      <c r="E8" s="4">
        <f t="shared" si="0"/>
        <v>5904000</v>
      </c>
      <c r="F8" s="4">
        <f t="shared" si="1"/>
        <v>43200</v>
      </c>
      <c r="G8" s="37">
        <f t="shared" si="2"/>
        <v>0.21326397919375814</v>
      </c>
      <c r="H8" s="4" t="s">
        <v>173</v>
      </c>
      <c r="I8" s="33" t="s">
        <v>176</v>
      </c>
    </row>
    <row r="9" spans="1:9" ht="28.8" x14ac:dyDescent="0.3">
      <c r="A9" s="4" t="s">
        <v>177</v>
      </c>
      <c r="B9" s="4">
        <v>1620</v>
      </c>
      <c r="C9" s="20">
        <v>2400</v>
      </c>
      <c r="D9" s="20">
        <v>30</v>
      </c>
      <c r="E9" s="4">
        <f t="shared" si="0"/>
        <v>3888000</v>
      </c>
      <c r="F9" s="4">
        <f t="shared" si="1"/>
        <v>48600</v>
      </c>
      <c r="G9" s="37">
        <f t="shared" si="2"/>
        <v>0.14044213263979194</v>
      </c>
      <c r="H9" s="4" t="s">
        <v>178</v>
      </c>
      <c r="I9" s="33" t="s">
        <v>179</v>
      </c>
    </row>
    <row r="10" spans="1:9" x14ac:dyDescent="0.3">
      <c r="A10" s="4" t="s">
        <v>180</v>
      </c>
      <c r="B10" s="4">
        <v>360</v>
      </c>
      <c r="C10" s="20">
        <v>2600</v>
      </c>
      <c r="D10" s="20">
        <v>30</v>
      </c>
      <c r="E10" s="4">
        <f t="shared" si="0"/>
        <v>936000</v>
      </c>
      <c r="F10" s="4">
        <f t="shared" si="1"/>
        <v>10800</v>
      </c>
      <c r="G10" s="37">
        <f t="shared" si="2"/>
        <v>3.3810143042912875E-2</v>
      </c>
      <c r="H10" s="4" t="s">
        <v>181</v>
      </c>
      <c r="I10" s="33" t="s">
        <v>182</v>
      </c>
    </row>
    <row r="11" spans="1:9" ht="24" x14ac:dyDescent="0.3">
      <c r="A11" s="4" t="s">
        <v>183</v>
      </c>
      <c r="B11" s="4">
        <v>1080</v>
      </c>
      <c r="C11" s="20">
        <v>4400</v>
      </c>
      <c r="D11" s="20">
        <v>120</v>
      </c>
      <c r="E11" s="4">
        <f t="shared" si="0"/>
        <v>4752000</v>
      </c>
      <c r="F11" s="4">
        <f t="shared" si="1"/>
        <v>129600</v>
      </c>
      <c r="G11" s="37">
        <f t="shared" si="2"/>
        <v>0.17165149544863459</v>
      </c>
      <c r="H11" s="4" t="s">
        <v>184</v>
      </c>
      <c r="I11" s="33" t="s">
        <v>185</v>
      </c>
    </row>
    <row r="12" spans="1:9" ht="42" x14ac:dyDescent="0.3">
      <c r="A12" s="35" t="s">
        <v>186</v>
      </c>
      <c r="B12" s="35">
        <f>SUM(B4:B11)</f>
        <v>10980</v>
      </c>
      <c r="C12" s="36"/>
      <c r="D12" s="36"/>
      <c r="E12" s="35">
        <f>SUM(E4:E11)</f>
        <v>27684000</v>
      </c>
      <c r="F12" s="35">
        <f>SUM(F4:F11)</f>
        <v>599400</v>
      </c>
      <c r="G12" s="36"/>
      <c r="H12" s="36"/>
      <c r="I12" s="4"/>
    </row>
  </sheetData>
  <mergeCells count="1">
    <mergeCell ref="A1:I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Budget Summary</vt:lpstr>
      <vt:lpstr>Model Registry</vt:lpstr>
      <vt:lpstr>Assumptions</vt:lpstr>
      <vt:lpstr>Generation Tokens</vt:lpstr>
      <vt:lpstr>Judging Tokens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Scharrenberg, Noah (DACS)</cp:lastModifiedBy>
  <cp:revision>0</cp:revision>
  <dcterms:created xsi:type="dcterms:W3CDTF">2026-09-07T09:11:49Z</dcterms:created>
  <dcterms:modified xsi:type="dcterms:W3CDTF">2026-09-07T12:10:36Z</dcterms:modified>
  <dc:language>en-US</dc:language>
</cp:coreProperties>
</file>